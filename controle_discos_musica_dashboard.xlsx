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phe\Music\"/>
    </mc:Choice>
  </mc:AlternateContent>
  <xr:revisionPtr revIDLastSave="0" documentId="13_ncr:1_{17B87CFB-694C-4BE2-AD49-8963CAB833E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gistro" sheetId="1" r:id="rId1"/>
    <sheet name="Catálogo" sheetId="2" r:id="rId2"/>
    <sheet name="Listas" sheetId="3" r:id="rId3"/>
    <sheet name="Resumos" sheetId="4" r:id="rId4"/>
    <sheet name="Dashboard" sheetId="5" r:id="rId5"/>
    <sheet name="Como us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7" i="5" l="1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F4" i="5"/>
  <c r="E4" i="5"/>
  <c r="D4" i="5"/>
  <c r="C4" i="5"/>
  <c r="B4" i="5"/>
  <c r="A4" i="5"/>
  <c r="N31" i="4"/>
  <c r="I52" i="5" s="1"/>
  <c r="M31" i="4"/>
  <c r="H52" i="5" s="1"/>
  <c r="L31" i="4"/>
  <c r="G52" i="5" s="1"/>
  <c r="K31" i="4"/>
  <c r="F52" i="5" s="1"/>
  <c r="N30" i="4"/>
  <c r="I51" i="5" s="1"/>
  <c r="M30" i="4"/>
  <c r="H51" i="5" s="1"/>
  <c r="L30" i="4"/>
  <c r="G51" i="5" s="1"/>
  <c r="K30" i="4"/>
  <c r="F51" i="5" s="1"/>
  <c r="N29" i="4"/>
  <c r="I50" i="5" s="1"/>
  <c r="M29" i="4"/>
  <c r="H50" i="5" s="1"/>
  <c r="L29" i="4"/>
  <c r="G50" i="5" s="1"/>
  <c r="K29" i="4"/>
  <c r="F50" i="5" s="1"/>
  <c r="N28" i="4"/>
  <c r="I49" i="5" s="1"/>
  <c r="M28" i="4"/>
  <c r="H49" i="5" s="1"/>
  <c r="L28" i="4"/>
  <c r="G49" i="5" s="1"/>
  <c r="K28" i="4"/>
  <c r="F49" i="5" s="1"/>
  <c r="N27" i="4"/>
  <c r="I48" i="5" s="1"/>
  <c r="M27" i="4"/>
  <c r="H48" i="5" s="1"/>
  <c r="L27" i="4"/>
  <c r="G48" i="5" s="1"/>
  <c r="K27" i="4"/>
  <c r="F48" i="5" s="1"/>
  <c r="N26" i="4"/>
  <c r="I47" i="5" s="1"/>
  <c r="M26" i="4"/>
  <c r="H47" i="5" s="1"/>
  <c r="L26" i="4"/>
  <c r="G47" i="5" s="1"/>
  <c r="K26" i="4"/>
  <c r="F47" i="5" s="1"/>
  <c r="N25" i="4"/>
  <c r="I46" i="5" s="1"/>
  <c r="M25" i="4"/>
  <c r="H46" i="5" s="1"/>
  <c r="L25" i="4"/>
  <c r="G46" i="5" s="1"/>
  <c r="K25" i="4"/>
  <c r="F46" i="5" s="1"/>
  <c r="N24" i="4"/>
  <c r="I45" i="5" s="1"/>
  <c r="M24" i="4"/>
  <c r="H45" i="5" s="1"/>
  <c r="L24" i="4"/>
  <c r="G45" i="5" s="1"/>
  <c r="K24" i="4"/>
  <c r="F45" i="5" s="1"/>
  <c r="N23" i="4"/>
  <c r="I44" i="5" s="1"/>
  <c r="M23" i="4"/>
  <c r="H44" i="5" s="1"/>
  <c r="L23" i="4"/>
  <c r="G44" i="5" s="1"/>
  <c r="K23" i="4"/>
  <c r="F44" i="5" s="1"/>
  <c r="N22" i="4"/>
  <c r="I43" i="5" s="1"/>
  <c r="M22" i="4"/>
  <c r="H43" i="5" s="1"/>
  <c r="L22" i="4"/>
  <c r="G43" i="5" s="1"/>
  <c r="K22" i="4"/>
  <c r="F43" i="5" s="1"/>
  <c r="D17" i="4"/>
  <c r="D57" i="5" s="1"/>
  <c r="C17" i="4"/>
  <c r="C57" i="5" s="1"/>
  <c r="B17" i="4"/>
  <c r="B57" i="5" s="1"/>
  <c r="D16" i="4"/>
  <c r="D56" i="5" s="1"/>
  <c r="C16" i="4"/>
  <c r="C56" i="5" s="1"/>
  <c r="B16" i="4"/>
  <c r="B56" i="5" s="1"/>
  <c r="D15" i="4"/>
  <c r="D55" i="5" s="1"/>
  <c r="C15" i="4"/>
  <c r="C55" i="5" s="1"/>
  <c r="B15" i="4"/>
  <c r="B55" i="5" s="1"/>
  <c r="I14" i="4"/>
  <c r="H14" i="4"/>
  <c r="G14" i="4"/>
  <c r="D14" i="4"/>
  <c r="D54" i="5" s="1"/>
  <c r="C14" i="4"/>
  <c r="C54" i="5" s="1"/>
  <c r="B14" i="4"/>
  <c r="B54" i="5" s="1"/>
  <c r="I13" i="4"/>
  <c r="H13" i="4"/>
  <c r="G13" i="4"/>
  <c r="D13" i="4"/>
  <c r="D53" i="5" s="1"/>
  <c r="C13" i="4"/>
  <c r="C53" i="5" s="1"/>
  <c r="B13" i="4"/>
  <c r="B53" i="5" s="1"/>
  <c r="I12" i="4"/>
  <c r="H12" i="4"/>
  <c r="G12" i="4"/>
  <c r="D12" i="4"/>
  <c r="D52" i="5" s="1"/>
  <c r="C12" i="4"/>
  <c r="C52" i="5" s="1"/>
  <c r="B12" i="4"/>
  <c r="B52" i="5" s="1"/>
  <c r="I11" i="4"/>
  <c r="H11" i="4"/>
  <c r="G11" i="4"/>
  <c r="D11" i="4"/>
  <c r="D51" i="5" s="1"/>
  <c r="C11" i="4"/>
  <c r="C51" i="5" s="1"/>
  <c r="B11" i="4"/>
  <c r="B51" i="5" s="1"/>
  <c r="N10" i="4"/>
  <c r="M10" i="4"/>
  <c r="L10" i="4"/>
  <c r="I10" i="4"/>
  <c r="H10" i="4"/>
  <c r="G10" i="4"/>
  <c r="D10" i="4"/>
  <c r="D50" i="5" s="1"/>
  <c r="C10" i="4"/>
  <c r="C50" i="5" s="1"/>
  <c r="B10" i="4"/>
  <c r="B50" i="5" s="1"/>
  <c r="N9" i="4"/>
  <c r="M9" i="4"/>
  <c r="L9" i="4"/>
  <c r="I9" i="4"/>
  <c r="H9" i="4"/>
  <c r="G9" i="4"/>
  <c r="D9" i="4"/>
  <c r="D49" i="5" s="1"/>
  <c r="C9" i="4"/>
  <c r="C49" i="5" s="1"/>
  <c r="B9" i="4"/>
  <c r="B49" i="5" s="1"/>
  <c r="N8" i="4"/>
  <c r="M8" i="4"/>
  <c r="L8" i="4"/>
  <c r="I8" i="4"/>
  <c r="H8" i="4"/>
  <c r="G8" i="4"/>
  <c r="D8" i="4"/>
  <c r="D48" i="5" s="1"/>
  <c r="C8" i="4"/>
  <c r="C48" i="5" s="1"/>
  <c r="B8" i="4"/>
  <c r="B48" i="5" s="1"/>
  <c r="N7" i="4"/>
  <c r="M7" i="4"/>
  <c r="L7" i="4"/>
  <c r="I7" i="4"/>
  <c r="H7" i="4"/>
  <c r="G7" i="4"/>
  <c r="D7" i="4"/>
  <c r="D47" i="5" s="1"/>
  <c r="C7" i="4"/>
  <c r="C47" i="5" s="1"/>
  <c r="B7" i="4"/>
  <c r="B47" i="5" s="1"/>
  <c r="N6" i="4"/>
  <c r="M6" i="4"/>
  <c r="L6" i="4"/>
  <c r="I6" i="4"/>
  <c r="H6" i="4"/>
  <c r="G6" i="4"/>
  <c r="D6" i="4"/>
  <c r="D46" i="5" s="1"/>
  <c r="C6" i="4"/>
  <c r="C46" i="5" s="1"/>
  <c r="B6" i="4"/>
  <c r="B46" i="5" s="1"/>
  <c r="N5" i="4"/>
  <c r="M5" i="4"/>
  <c r="L5" i="4"/>
  <c r="I5" i="4"/>
  <c r="H5" i="4"/>
  <c r="G5" i="4"/>
  <c r="D5" i="4"/>
  <c r="D45" i="5" s="1"/>
  <c r="C5" i="4"/>
  <c r="C45" i="5" s="1"/>
  <c r="B5" i="4"/>
  <c r="B45" i="5" s="1"/>
  <c r="N4" i="4"/>
  <c r="M4" i="4"/>
  <c r="L4" i="4"/>
  <c r="I4" i="4"/>
  <c r="H4" i="4"/>
  <c r="G4" i="4"/>
  <c r="D4" i="4"/>
  <c r="D44" i="5" s="1"/>
  <c r="C4" i="4"/>
  <c r="C44" i="5" s="1"/>
  <c r="B4" i="4"/>
  <c r="B44" i="5" s="1"/>
  <c r="N3" i="4"/>
  <c r="M3" i="4"/>
  <c r="L3" i="4"/>
  <c r="I3" i="4"/>
  <c r="H3" i="4"/>
  <c r="G3" i="4"/>
  <c r="D3" i="4"/>
  <c r="D43" i="5" s="1"/>
  <c r="C3" i="4"/>
  <c r="C43" i="5" s="1"/>
  <c r="B3" i="4"/>
  <c r="B43" i="5" s="1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2" i="2"/>
  <c r="W300" i="1"/>
  <c r="V300" i="1"/>
  <c r="U300" i="1"/>
  <c r="F300" i="1"/>
  <c r="W299" i="1"/>
  <c r="V299" i="1"/>
  <c r="U299" i="1"/>
  <c r="F299" i="1"/>
  <c r="W298" i="1"/>
  <c r="V298" i="1"/>
  <c r="U298" i="1"/>
  <c r="F298" i="1"/>
  <c r="W297" i="1"/>
  <c r="V297" i="1"/>
  <c r="U297" i="1"/>
  <c r="F297" i="1"/>
  <c r="W296" i="1"/>
  <c r="V296" i="1"/>
  <c r="U296" i="1"/>
  <c r="F296" i="1"/>
  <c r="W295" i="1"/>
  <c r="V295" i="1"/>
  <c r="U295" i="1"/>
  <c r="F295" i="1"/>
  <c r="W294" i="1"/>
  <c r="V294" i="1"/>
  <c r="U294" i="1"/>
  <c r="F294" i="1"/>
  <c r="W293" i="1"/>
  <c r="V293" i="1"/>
  <c r="U293" i="1"/>
  <c r="F293" i="1"/>
  <c r="W292" i="1"/>
  <c r="V292" i="1"/>
  <c r="U292" i="1"/>
  <c r="F292" i="1"/>
  <c r="W291" i="1"/>
  <c r="V291" i="1"/>
  <c r="U291" i="1"/>
  <c r="F291" i="1"/>
  <c r="W290" i="1"/>
  <c r="V290" i="1"/>
  <c r="U290" i="1"/>
  <c r="F290" i="1"/>
  <c r="W289" i="1"/>
  <c r="V289" i="1"/>
  <c r="U289" i="1"/>
  <c r="F289" i="1"/>
  <c r="W288" i="1"/>
  <c r="V288" i="1"/>
  <c r="U288" i="1"/>
  <c r="F288" i="1"/>
  <c r="W287" i="1"/>
  <c r="V287" i="1"/>
  <c r="U287" i="1"/>
  <c r="F287" i="1"/>
  <c r="W286" i="1"/>
  <c r="V286" i="1"/>
  <c r="U286" i="1"/>
  <c r="F286" i="1"/>
  <c r="W285" i="1"/>
  <c r="V285" i="1"/>
  <c r="U285" i="1"/>
  <c r="F285" i="1"/>
  <c r="W284" i="1"/>
  <c r="V284" i="1"/>
  <c r="U284" i="1"/>
  <c r="F284" i="1"/>
  <c r="W283" i="1"/>
  <c r="V283" i="1"/>
  <c r="U283" i="1"/>
  <c r="F283" i="1"/>
  <c r="W282" i="1"/>
  <c r="V282" i="1"/>
  <c r="U282" i="1"/>
  <c r="F282" i="1"/>
  <c r="W281" i="1"/>
  <c r="V281" i="1"/>
  <c r="U281" i="1"/>
  <c r="F281" i="1"/>
  <c r="W280" i="1"/>
  <c r="V280" i="1"/>
  <c r="U280" i="1"/>
  <c r="F280" i="1"/>
  <c r="W279" i="1"/>
  <c r="V279" i="1"/>
  <c r="U279" i="1"/>
  <c r="F279" i="1"/>
  <c r="W278" i="1"/>
  <c r="V278" i="1"/>
  <c r="U278" i="1"/>
  <c r="F278" i="1"/>
  <c r="W277" i="1"/>
  <c r="V277" i="1"/>
  <c r="U277" i="1"/>
  <c r="F277" i="1"/>
  <c r="W276" i="1"/>
  <c r="V276" i="1"/>
  <c r="U276" i="1"/>
  <c r="F276" i="1"/>
  <c r="W275" i="1"/>
  <c r="V275" i="1"/>
  <c r="U275" i="1"/>
  <c r="F275" i="1"/>
  <c r="W274" i="1"/>
  <c r="V274" i="1"/>
  <c r="U274" i="1"/>
  <c r="F274" i="1"/>
  <c r="W273" i="1"/>
  <c r="V273" i="1"/>
  <c r="U273" i="1"/>
  <c r="F273" i="1"/>
  <c r="W272" i="1"/>
  <c r="V272" i="1"/>
  <c r="U272" i="1"/>
  <c r="F272" i="1"/>
  <c r="W271" i="1"/>
  <c r="V271" i="1"/>
  <c r="U271" i="1"/>
  <c r="F271" i="1"/>
  <c r="W270" i="1"/>
  <c r="V270" i="1"/>
  <c r="U270" i="1"/>
  <c r="F270" i="1"/>
  <c r="W269" i="1"/>
  <c r="V269" i="1"/>
  <c r="U269" i="1"/>
  <c r="F269" i="1"/>
  <c r="W268" i="1"/>
  <c r="V268" i="1"/>
  <c r="U268" i="1"/>
  <c r="F268" i="1"/>
  <c r="W267" i="1"/>
  <c r="V267" i="1"/>
  <c r="U267" i="1"/>
  <c r="F267" i="1"/>
  <c r="W266" i="1"/>
  <c r="V266" i="1"/>
  <c r="U266" i="1"/>
  <c r="F266" i="1"/>
  <c r="W265" i="1"/>
  <c r="V265" i="1"/>
  <c r="U265" i="1"/>
  <c r="F265" i="1"/>
  <c r="W264" i="1"/>
  <c r="V264" i="1"/>
  <c r="U264" i="1"/>
  <c r="F264" i="1"/>
  <c r="W263" i="1"/>
  <c r="V263" i="1"/>
  <c r="U263" i="1"/>
  <c r="F263" i="1"/>
  <c r="W262" i="1"/>
  <c r="V262" i="1"/>
  <c r="U262" i="1"/>
  <c r="F262" i="1"/>
  <c r="W261" i="1"/>
  <c r="V261" i="1"/>
  <c r="U261" i="1"/>
  <c r="F261" i="1"/>
  <c r="W260" i="1"/>
  <c r="V260" i="1"/>
  <c r="U260" i="1"/>
  <c r="F260" i="1"/>
  <c r="W259" i="1"/>
  <c r="V259" i="1"/>
  <c r="U259" i="1"/>
  <c r="F259" i="1"/>
  <c r="W258" i="1"/>
  <c r="V258" i="1"/>
  <c r="U258" i="1"/>
  <c r="F258" i="1"/>
  <c r="W257" i="1"/>
  <c r="V257" i="1"/>
  <c r="U257" i="1"/>
  <c r="F257" i="1"/>
  <c r="W256" i="1"/>
  <c r="V256" i="1"/>
  <c r="U256" i="1"/>
  <c r="F256" i="1"/>
  <c r="W255" i="1"/>
  <c r="V255" i="1"/>
  <c r="U255" i="1"/>
  <c r="F255" i="1"/>
  <c r="W254" i="1"/>
  <c r="V254" i="1"/>
  <c r="U254" i="1"/>
  <c r="F254" i="1"/>
  <c r="W253" i="1"/>
  <c r="V253" i="1"/>
  <c r="U253" i="1"/>
  <c r="F253" i="1"/>
  <c r="W252" i="1"/>
  <c r="V252" i="1"/>
  <c r="U252" i="1"/>
  <c r="F252" i="1"/>
  <c r="W251" i="1"/>
  <c r="V251" i="1"/>
  <c r="U251" i="1"/>
  <c r="F251" i="1"/>
  <c r="W250" i="1"/>
  <c r="V250" i="1"/>
  <c r="U250" i="1"/>
  <c r="F250" i="1"/>
  <c r="W249" i="1"/>
  <c r="V249" i="1"/>
  <c r="U249" i="1"/>
  <c r="F249" i="1"/>
  <c r="W248" i="1"/>
  <c r="V248" i="1"/>
  <c r="U248" i="1"/>
  <c r="F248" i="1"/>
  <c r="W247" i="1"/>
  <c r="V247" i="1"/>
  <c r="U247" i="1"/>
  <c r="F247" i="1"/>
  <c r="W246" i="1"/>
  <c r="V246" i="1"/>
  <c r="U246" i="1"/>
  <c r="F246" i="1"/>
  <c r="W245" i="1"/>
  <c r="V245" i="1"/>
  <c r="U245" i="1"/>
  <c r="F245" i="1"/>
  <c r="W244" i="1"/>
  <c r="V244" i="1"/>
  <c r="U244" i="1"/>
  <c r="F244" i="1"/>
  <c r="W243" i="1"/>
  <c r="V243" i="1"/>
  <c r="U243" i="1"/>
  <c r="F243" i="1"/>
  <c r="W242" i="1"/>
  <c r="V242" i="1"/>
  <c r="U242" i="1"/>
  <c r="F242" i="1"/>
  <c r="W241" i="1"/>
  <c r="V241" i="1"/>
  <c r="U241" i="1"/>
  <c r="F241" i="1"/>
  <c r="W240" i="1"/>
  <c r="V240" i="1"/>
  <c r="U240" i="1"/>
  <c r="F240" i="1"/>
  <c r="W239" i="1"/>
  <c r="V239" i="1"/>
  <c r="U239" i="1"/>
  <c r="F239" i="1"/>
  <c r="W238" i="1"/>
  <c r="V238" i="1"/>
  <c r="U238" i="1"/>
  <c r="F238" i="1"/>
  <c r="W237" i="1"/>
  <c r="V237" i="1"/>
  <c r="U237" i="1"/>
  <c r="F237" i="1"/>
  <c r="W236" i="1"/>
  <c r="V236" i="1"/>
  <c r="U236" i="1"/>
  <c r="F236" i="1"/>
  <c r="W235" i="1"/>
  <c r="V235" i="1"/>
  <c r="U235" i="1"/>
  <c r="F235" i="1"/>
  <c r="W234" i="1"/>
  <c r="V234" i="1"/>
  <c r="U234" i="1"/>
  <c r="F234" i="1"/>
  <c r="W233" i="1"/>
  <c r="V233" i="1"/>
  <c r="U233" i="1"/>
  <c r="F233" i="1"/>
  <c r="W232" i="1"/>
  <c r="V232" i="1"/>
  <c r="U232" i="1"/>
  <c r="F232" i="1"/>
  <c r="W231" i="1"/>
  <c r="V231" i="1"/>
  <c r="U231" i="1"/>
  <c r="F231" i="1"/>
  <c r="W230" i="1"/>
  <c r="V230" i="1"/>
  <c r="U230" i="1"/>
  <c r="F230" i="1"/>
  <c r="W229" i="1"/>
  <c r="V229" i="1"/>
  <c r="U229" i="1"/>
  <c r="F229" i="1"/>
  <c r="W228" i="1"/>
  <c r="V228" i="1"/>
  <c r="U228" i="1"/>
  <c r="F228" i="1"/>
  <c r="W227" i="1"/>
  <c r="V227" i="1"/>
  <c r="U227" i="1"/>
  <c r="F227" i="1"/>
  <c r="W226" i="1"/>
  <c r="V226" i="1"/>
  <c r="U226" i="1"/>
  <c r="F226" i="1"/>
  <c r="W225" i="1"/>
  <c r="V225" i="1"/>
  <c r="U225" i="1"/>
  <c r="F225" i="1"/>
  <c r="W224" i="1"/>
  <c r="V224" i="1"/>
  <c r="U224" i="1"/>
  <c r="F224" i="1"/>
  <c r="W223" i="1"/>
  <c r="V223" i="1"/>
  <c r="U223" i="1"/>
  <c r="F223" i="1"/>
  <c r="W222" i="1"/>
  <c r="V222" i="1"/>
  <c r="U222" i="1"/>
  <c r="F222" i="1"/>
  <c r="W221" i="1"/>
  <c r="V221" i="1"/>
  <c r="U221" i="1"/>
  <c r="F221" i="1"/>
  <c r="W220" i="1"/>
  <c r="V220" i="1"/>
  <c r="U220" i="1"/>
  <c r="F220" i="1"/>
  <c r="W219" i="1"/>
  <c r="V219" i="1"/>
  <c r="U219" i="1"/>
  <c r="F219" i="1"/>
  <c r="W218" i="1"/>
  <c r="V218" i="1"/>
  <c r="U218" i="1"/>
  <c r="F218" i="1"/>
  <c r="W217" i="1"/>
  <c r="V217" i="1"/>
  <c r="U217" i="1"/>
  <c r="F217" i="1"/>
  <c r="W216" i="1"/>
  <c r="V216" i="1"/>
  <c r="U216" i="1"/>
  <c r="F216" i="1"/>
  <c r="W215" i="1"/>
  <c r="V215" i="1"/>
  <c r="U215" i="1"/>
  <c r="F215" i="1"/>
  <c r="W214" i="1"/>
  <c r="V214" i="1"/>
  <c r="U214" i="1"/>
  <c r="F214" i="1"/>
  <c r="W213" i="1"/>
  <c r="V213" i="1"/>
  <c r="U213" i="1"/>
  <c r="F213" i="1"/>
  <c r="W212" i="1"/>
  <c r="V212" i="1"/>
  <c r="U212" i="1"/>
  <c r="F212" i="1"/>
  <c r="W211" i="1"/>
  <c r="V211" i="1"/>
  <c r="U211" i="1"/>
  <c r="F211" i="1"/>
  <c r="W210" i="1"/>
  <c r="V210" i="1"/>
  <c r="U210" i="1"/>
  <c r="F210" i="1"/>
  <c r="W209" i="1"/>
  <c r="V209" i="1"/>
  <c r="U209" i="1"/>
  <c r="F209" i="1"/>
  <c r="W208" i="1"/>
  <c r="V208" i="1"/>
  <c r="U208" i="1"/>
  <c r="F208" i="1"/>
  <c r="W207" i="1"/>
  <c r="V207" i="1"/>
  <c r="U207" i="1"/>
  <c r="F207" i="1"/>
  <c r="W206" i="1"/>
  <c r="V206" i="1"/>
  <c r="U206" i="1"/>
  <c r="F206" i="1"/>
  <c r="W205" i="1"/>
  <c r="V205" i="1"/>
  <c r="U205" i="1"/>
  <c r="F205" i="1"/>
  <c r="W204" i="1"/>
  <c r="V204" i="1"/>
  <c r="U204" i="1"/>
  <c r="F204" i="1"/>
  <c r="W203" i="1"/>
  <c r="V203" i="1"/>
  <c r="U203" i="1"/>
  <c r="F203" i="1"/>
  <c r="W202" i="1"/>
  <c r="V202" i="1"/>
  <c r="U202" i="1"/>
  <c r="F202" i="1"/>
  <c r="W201" i="1"/>
  <c r="V201" i="1"/>
  <c r="U201" i="1"/>
  <c r="F201" i="1"/>
  <c r="W200" i="1"/>
  <c r="V200" i="1"/>
  <c r="U200" i="1"/>
  <c r="F200" i="1"/>
  <c r="W199" i="1"/>
  <c r="V199" i="1"/>
  <c r="U199" i="1"/>
  <c r="F199" i="1"/>
  <c r="W198" i="1"/>
  <c r="V198" i="1"/>
  <c r="U198" i="1"/>
  <c r="F198" i="1"/>
  <c r="W197" i="1"/>
  <c r="V197" i="1"/>
  <c r="U197" i="1"/>
  <c r="F197" i="1"/>
  <c r="W196" i="1"/>
  <c r="V196" i="1"/>
  <c r="U196" i="1"/>
  <c r="F196" i="1"/>
  <c r="W195" i="1"/>
  <c r="V195" i="1"/>
  <c r="U195" i="1"/>
  <c r="F195" i="1"/>
  <c r="W194" i="1"/>
  <c r="V194" i="1"/>
  <c r="U194" i="1"/>
  <c r="F194" i="1"/>
  <c r="W193" i="1"/>
  <c r="V193" i="1"/>
  <c r="U193" i="1"/>
  <c r="F193" i="1"/>
  <c r="W192" i="1"/>
  <c r="V192" i="1"/>
  <c r="U192" i="1"/>
  <c r="F192" i="1"/>
  <c r="W191" i="1"/>
  <c r="V191" i="1"/>
  <c r="U191" i="1"/>
  <c r="F191" i="1"/>
  <c r="W190" i="1"/>
  <c r="V190" i="1"/>
  <c r="U190" i="1"/>
  <c r="F190" i="1"/>
  <c r="W189" i="1"/>
  <c r="V189" i="1"/>
  <c r="U189" i="1"/>
  <c r="F189" i="1"/>
  <c r="W188" i="1"/>
  <c r="V188" i="1"/>
  <c r="U188" i="1"/>
  <c r="F188" i="1"/>
  <c r="W187" i="1"/>
  <c r="V187" i="1"/>
  <c r="U187" i="1"/>
  <c r="F187" i="1"/>
  <c r="W186" i="1"/>
  <c r="V186" i="1"/>
  <c r="U186" i="1"/>
  <c r="F186" i="1"/>
  <c r="W185" i="1"/>
  <c r="V185" i="1"/>
  <c r="U185" i="1"/>
  <c r="F185" i="1"/>
  <c r="W184" i="1"/>
  <c r="V184" i="1"/>
  <c r="U184" i="1"/>
  <c r="F184" i="1"/>
  <c r="W183" i="1"/>
  <c r="V183" i="1"/>
  <c r="U183" i="1"/>
  <c r="F183" i="1"/>
  <c r="W182" i="1"/>
  <c r="V182" i="1"/>
  <c r="U182" i="1"/>
  <c r="F182" i="1"/>
  <c r="W181" i="1"/>
  <c r="V181" i="1"/>
  <c r="U181" i="1"/>
  <c r="F181" i="1"/>
  <c r="W180" i="1"/>
  <c r="V180" i="1"/>
  <c r="U180" i="1"/>
  <c r="F180" i="1"/>
  <c r="W179" i="1"/>
  <c r="V179" i="1"/>
  <c r="U179" i="1"/>
  <c r="F179" i="1"/>
  <c r="W178" i="1"/>
  <c r="V178" i="1"/>
  <c r="U178" i="1"/>
  <c r="F178" i="1"/>
  <c r="W177" i="1"/>
  <c r="V177" i="1"/>
  <c r="U177" i="1"/>
  <c r="F177" i="1"/>
  <c r="W176" i="1"/>
  <c r="V176" i="1"/>
  <c r="U176" i="1"/>
  <c r="F176" i="1"/>
  <c r="W175" i="1"/>
  <c r="V175" i="1"/>
  <c r="U175" i="1"/>
  <c r="F175" i="1"/>
  <c r="W174" i="1"/>
  <c r="V174" i="1"/>
  <c r="U174" i="1"/>
  <c r="F174" i="1"/>
  <c r="W173" i="1"/>
  <c r="V173" i="1"/>
  <c r="U173" i="1"/>
  <c r="F173" i="1"/>
  <c r="W172" i="1"/>
  <c r="V172" i="1"/>
  <c r="U172" i="1"/>
  <c r="F172" i="1"/>
  <c r="W171" i="1"/>
  <c r="V171" i="1"/>
  <c r="U171" i="1"/>
  <c r="F171" i="1"/>
  <c r="W170" i="1"/>
  <c r="V170" i="1"/>
  <c r="U170" i="1"/>
  <c r="F170" i="1"/>
  <c r="W169" i="1"/>
  <c r="V169" i="1"/>
  <c r="U169" i="1"/>
  <c r="F169" i="1"/>
  <c r="W168" i="1"/>
  <c r="V168" i="1"/>
  <c r="U168" i="1"/>
  <c r="F168" i="1"/>
  <c r="W167" i="1"/>
  <c r="V167" i="1"/>
  <c r="U167" i="1"/>
  <c r="F167" i="1"/>
  <c r="W166" i="1"/>
  <c r="V166" i="1"/>
  <c r="U166" i="1"/>
  <c r="F166" i="1"/>
  <c r="W165" i="1"/>
  <c r="V165" i="1"/>
  <c r="U165" i="1"/>
  <c r="F165" i="1"/>
  <c r="W164" i="1"/>
  <c r="V164" i="1"/>
  <c r="U164" i="1"/>
  <c r="F164" i="1"/>
  <c r="W163" i="1"/>
  <c r="V163" i="1"/>
  <c r="U163" i="1"/>
  <c r="F163" i="1"/>
  <c r="W162" i="1"/>
  <c r="V162" i="1"/>
  <c r="U162" i="1"/>
  <c r="F162" i="1"/>
  <c r="W161" i="1"/>
  <c r="V161" i="1"/>
  <c r="U161" i="1"/>
  <c r="F161" i="1"/>
  <c r="W160" i="1"/>
  <c r="V160" i="1"/>
  <c r="U160" i="1"/>
  <c r="F160" i="1"/>
  <c r="W159" i="1"/>
  <c r="V159" i="1"/>
  <c r="U159" i="1"/>
  <c r="F159" i="1"/>
  <c r="W158" i="1"/>
  <c r="V158" i="1"/>
  <c r="U158" i="1"/>
  <c r="F158" i="1"/>
  <c r="W157" i="1"/>
  <c r="V157" i="1"/>
  <c r="U157" i="1"/>
  <c r="F157" i="1"/>
  <c r="W156" i="1"/>
  <c r="V156" i="1"/>
  <c r="U156" i="1"/>
  <c r="F156" i="1"/>
  <c r="W155" i="1"/>
  <c r="V155" i="1"/>
  <c r="U155" i="1"/>
  <c r="F155" i="1"/>
  <c r="W154" i="1"/>
  <c r="V154" i="1"/>
  <c r="U154" i="1"/>
  <c r="F154" i="1"/>
  <c r="W153" i="1"/>
  <c r="V153" i="1"/>
  <c r="U153" i="1"/>
  <c r="F153" i="1"/>
  <c r="W152" i="1"/>
  <c r="V152" i="1"/>
  <c r="U152" i="1"/>
  <c r="F152" i="1"/>
  <c r="W151" i="1"/>
  <c r="V151" i="1"/>
  <c r="U151" i="1"/>
  <c r="F151" i="1"/>
  <c r="W150" i="1"/>
  <c r="V150" i="1"/>
  <c r="U150" i="1"/>
  <c r="F150" i="1"/>
  <c r="W149" i="1"/>
  <c r="V149" i="1"/>
  <c r="U149" i="1"/>
  <c r="F149" i="1"/>
  <c r="W148" i="1"/>
  <c r="V148" i="1"/>
  <c r="U148" i="1"/>
  <c r="F148" i="1"/>
  <c r="W147" i="1"/>
  <c r="V147" i="1"/>
  <c r="U147" i="1"/>
  <c r="F147" i="1"/>
  <c r="W146" i="1"/>
  <c r="V146" i="1"/>
  <c r="U146" i="1"/>
  <c r="F146" i="1"/>
  <c r="W145" i="1"/>
  <c r="V145" i="1"/>
  <c r="U145" i="1"/>
  <c r="F145" i="1"/>
  <c r="W144" i="1"/>
  <c r="V144" i="1"/>
  <c r="U144" i="1"/>
  <c r="F144" i="1"/>
  <c r="W143" i="1"/>
  <c r="V143" i="1"/>
  <c r="U143" i="1"/>
  <c r="F143" i="1"/>
  <c r="W142" i="1"/>
  <c r="V142" i="1"/>
  <c r="U142" i="1"/>
  <c r="F142" i="1"/>
  <c r="W141" i="1"/>
  <c r="V141" i="1"/>
  <c r="U141" i="1"/>
  <c r="F141" i="1"/>
  <c r="W140" i="1"/>
  <c r="V140" i="1"/>
  <c r="U140" i="1"/>
  <c r="F140" i="1"/>
  <c r="W139" i="1"/>
  <c r="V139" i="1"/>
  <c r="U139" i="1"/>
  <c r="F139" i="1"/>
  <c r="W138" i="1"/>
  <c r="V138" i="1"/>
  <c r="U138" i="1"/>
  <c r="F138" i="1"/>
  <c r="W137" i="1"/>
  <c r="V137" i="1"/>
  <c r="U137" i="1"/>
  <c r="F137" i="1"/>
  <c r="W136" i="1"/>
  <c r="V136" i="1"/>
  <c r="U136" i="1"/>
  <c r="F136" i="1"/>
  <c r="W135" i="1"/>
  <c r="V135" i="1"/>
  <c r="U135" i="1"/>
  <c r="F135" i="1"/>
  <c r="W134" i="1"/>
  <c r="V134" i="1"/>
  <c r="U134" i="1"/>
  <c r="F134" i="1"/>
  <c r="W133" i="1"/>
  <c r="V133" i="1"/>
  <c r="U133" i="1"/>
  <c r="F133" i="1"/>
  <c r="W132" i="1"/>
  <c r="V132" i="1"/>
  <c r="U132" i="1"/>
  <c r="F132" i="1"/>
  <c r="W131" i="1"/>
  <c r="V131" i="1"/>
  <c r="U131" i="1"/>
  <c r="F131" i="1"/>
  <c r="W130" i="1"/>
  <c r="V130" i="1"/>
  <c r="U130" i="1"/>
  <c r="F130" i="1"/>
  <c r="W129" i="1"/>
  <c r="V129" i="1"/>
  <c r="U129" i="1"/>
  <c r="F129" i="1"/>
  <c r="W128" i="1"/>
  <c r="V128" i="1"/>
  <c r="U128" i="1"/>
  <c r="F128" i="1"/>
  <c r="W127" i="1"/>
  <c r="V127" i="1"/>
  <c r="U127" i="1"/>
  <c r="F127" i="1"/>
  <c r="W126" i="1"/>
  <c r="V126" i="1"/>
  <c r="U126" i="1"/>
  <c r="F126" i="1"/>
  <c r="W125" i="1"/>
  <c r="V125" i="1"/>
  <c r="U125" i="1"/>
  <c r="F125" i="1"/>
  <c r="W124" i="1"/>
  <c r="V124" i="1"/>
  <c r="U124" i="1"/>
  <c r="F124" i="1"/>
  <c r="W123" i="1"/>
  <c r="V123" i="1"/>
  <c r="U123" i="1"/>
  <c r="F123" i="1"/>
  <c r="W122" i="1"/>
  <c r="V122" i="1"/>
  <c r="U122" i="1"/>
  <c r="F122" i="1"/>
  <c r="W121" i="1"/>
  <c r="V121" i="1"/>
  <c r="U121" i="1"/>
  <c r="F121" i="1"/>
  <c r="W120" i="1"/>
  <c r="V120" i="1"/>
  <c r="U120" i="1"/>
  <c r="F120" i="1"/>
  <c r="W119" i="1"/>
  <c r="V119" i="1"/>
  <c r="U119" i="1"/>
  <c r="F119" i="1"/>
  <c r="W118" i="1"/>
  <c r="V118" i="1"/>
  <c r="U118" i="1"/>
  <c r="F118" i="1"/>
  <c r="W117" i="1"/>
  <c r="V117" i="1"/>
  <c r="U117" i="1"/>
  <c r="F117" i="1"/>
  <c r="W116" i="1"/>
  <c r="V116" i="1"/>
  <c r="U116" i="1"/>
  <c r="F116" i="1"/>
  <c r="W115" i="1"/>
  <c r="V115" i="1"/>
  <c r="U115" i="1"/>
  <c r="F115" i="1"/>
  <c r="W114" i="1"/>
  <c r="V114" i="1"/>
  <c r="U114" i="1"/>
  <c r="F114" i="1"/>
  <c r="W113" i="1"/>
  <c r="V113" i="1"/>
  <c r="U113" i="1"/>
  <c r="F113" i="1"/>
  <c r="W112" i="1"/>
  <c r="V112" i="1"/>
  <c r="U112" i="1"/>
  <c r="F112" i="1"/>
  <c r="W111" i="1"/>
  <c r="V111" i="1"/>
  <c r="U111" i="1"/>
  <c r="F111" i="1"/>
  <c r="W110" i="1"/>
  <c r="V110" i="1"/>
  <c r="U110" i="1"/>
  <c r="F110" i="1"/>
  <c r="W109" i="1"/>
  <c r="V109" i="1"/>
  <c r="U109" i="1"/>
  <c r="F109" i="1"/>
  <c r="W108" i="1"/>
  <c r="V108" i="1"/>
  <c r="U108" i="1"/>
  <c r="F108" i="1"/>
  <c r="W107" i="1"/>
  <c r="V107" i="1"/>
  <c r="U107" i="1"/>
  <c r="F107" i="1"/>
  <c r="W106" i="1"/>
  <c r="V106" i="1"/>
  <c r="U106" i="1"/>
  <c r="F106" i="1"/>
  <c r="W105" i="1"/>
  <c r="V105" i="1"/>
  <c r="U105" i="1"/>
  <c r="F105" i="1"/>
  <c r="W104" i="1"/>
  <c r="V104" i="1"/>
  <c r="U104" i="1"/>
  <c r="F104" i="1"/>
  <c r="W103" i="1"/>
  <c r="V103" i="1"/>
  <c r="U103" i="1"/>
  <c r="F103" i="1"/>
  <c r="W102" i="1"/>
  <c r="V102" i="1"/>
  <c r="U102" i="1"/>
  <c r="F102" i="1"/>
  <c r="W101" i="1"/>
  <c r="V101" i="1"/>
  <c r="U101" i="1"/>
  <c r="F101" i="1"/>
  <c r="W100" i="1"/>
  <c r="V100" i="1"/>
  <c r="U100" i="1"/>
  <c r="F100" i="1"/>
  <c r="W99" i="1"/>
  <c r="V99" i="1"/>
  <c r="U99" i="1"/>
  <c r="F99" i="1"/>
  <c r="W98" i="1"/>
  <c r="V98" i="1"/>
  <c r="U98" i="1"/>
  <c r="F98" i="1"/>
  <c r="W97" i="1"/>
  <c r="V97" i="1"/>
  <c r="U97" i="1"/>
  <c r="F97" i="1"/>
  <c r="W96" i="1"/>
  <c r="V96" i="1"/>
  <c r="U96" i="1"/>
  <c r="F96" i="1"/>
  <c r="W95" i="1"/>
  <c r="V95" i="1"/>
  <c r="U95" i="1"/>
  <c r="F95" i="1"/>
  <c r="W94" i="1"/>
  <c r="V94" i="1"/>
  <c r="U94" i="1"/>
  <c r="F94" i="1"/>
  <c r="W93" i="1"/>
  <c r="V93" i="1"/>
  <c r="U93" i="1"/>
  <c r="F93" i="1"/>
  <c r="W92" i="1"/>
  <c r="V92" i="1"/>
  <c r="U92" i="1"/>
  <c r="F92" i="1"/>
  <c r="W91" i="1"/>
  <c r="V91" i="1"/>
  <c r="U91" i="1"/>
  <c r="F91" i="1"/>
  <c r="W90" i="1"/>
  <c r="V90" i="1"/>
  <c r="U90" i="1"/>
  <c r="F90" i="1"/>
  <c r="W89" i="1"/>
  <c r="V89" i="1"/>
  <c r="U89" i="1"/>
  <c r="F89" i="1"/>
  <c r="W88" i="1"/>
  <c r="V88" i="1"/>
  <c r="U88" i="1"/>
  <c r="F88" i="1"/>
  <c r="W87" i="1"/>
  <c r="V87" i="1"/>
  <c r="U87" i="1"/>
  <c r="F87" i="1"/>
  <c r="W86" i="1"/>
  <c r="V86" i="1"/>
  <c r="U86" i="1"/>
  <c r="F86" i="1"/>
  <c r="W85" i="1"/>
  <c r="V85" i="1"/>
  <c r="U85" i="1"/>
  <c r="F85" i="1"/>
  <c r="W84" i="1"/>
  <c r="V84" i="1"/>
  <c r="U84" i="1"/>
  <c r="F84" i="1"/>
  <c r="W83" i="1"/>
  <c r="V83" i="1"/>
  <c r="U83" i="1"/>
  <c r="F83" i="1"/>
  <c r="W82" i="1"/>
  <c r="V82" i="1"/>
  <c r="U82" i="1"/>
  <c r="F82" i="1"/>
  <c r="W81" i="1"/>
  <c r="V81" i="1"/>
  <c r="U81" i="1"/>
  <c r="F81" i="1"/>
  <c r="W80" i="1"/>
  <c r="V80" i="1"/>
  <c r="U80" i="1"/>
  <c r="F80" i="1"/>
  <c r="W79" i="1"/>
  <c r="V79" i="1"/>
  <c r="U79" i="1"/>
  <c r="F79" i="1"/>
  <c r="W78" i="1"/>
  <c r="V78" i="1"/>
  <c r="U78" i="1"/>
  <c r="F78" i="1"/>
  <c r="W77" i="1"/>
  <c r="V77" i="1"/>
  <c r="U77" i="1"/>
  <c r="F77" i="1"/>
  <c r="W76" i="1"/>
  <c r="V76" i="1"/>
  <c r="U76" i="1"/>
  <c r="F76" i="1"/>
  <c r="W75" i="1"/>
  <c r="V75" i="1"/>
  <c r="U75" i="1"/>
  <c r="F75" i="1"/>
  <c r="W74" i="1"/>
  <c r="V74" i="1"/>
  <c r="U74" i="1"/>
  <c r="F74" i="1"/>
  <c r="W73" i="1"/>
  <c r="V73" i="1"/>
  <c r="U73" i="1"/>
  <c r="F73" i="1"/>
  <c r="W72" i="1"/>
  <c r="V72" i="1"/>
  <c r="U72" i="1"/>
  <c r="F72" i="1"/>
  <c r="W71" i="1"/>
  <c r="V71" i="1"/>
  <c r="U71" i="1"/>
  <c r="F71" i="1"/>
  <c r="W70" i="1"/>
  <c r="V70" i="1"/>
  <c r="U70" i="1"/>
  <c r="F70" i="1"/>
  <c r="W69" i="1"/>
  <c r="V69" i="1"/>
  <c r="U69" i="1"/>
  <c r="F69" i="1"/>
  <c r="W68" i="1"/>
  <c r="V68" i="1"/>
  <c r="U68" i="1"/>
  <c r="F68" i="1"/>
  <c r="W67" i="1"/>
  <c r="V67" i="1"/>
  <c r="U67" i="1"/>
  <c r="F67" i="1"/>
  <c r="W66" i="1"/>
  <c r="V66" i="1"/>
  <c r="U66" i="1"/>
  <c r="F66" i="1"/>
  <c r="W65" i="1"/>
  <c r="V65" i="1"/>
  <c r="U65" i="1"/>
  <c r="F65" i="1"/>
  <c r="W64" i="1"/>
  <c r="V64" i="1"/>
  <c r="U64" i="1"/>
  <c r="F64" i="1"/>
  <c r="W63" i="1"/>
  <c r="V63" i="1"/>
  <c r="U63" i="1"/>
  <c r="F63" i="1"/>
  <c r="W62" i="1"/>
  <c r="V62" i="1"/>
  <c r="U62" i="1"/>
  <c r="F62" i="1"/>
  <c r="W61" i="1"/>
  <c r="V61" i="1"/>
  <c r="U61" i="1"/>
  <c r="F61" i="1"/>
  <c r="W60" i="1"/>
  <c r="V60" i="1"/>
  <c r="U60" i="1"/>
  <c r="F60" i="1"/>
  <c r="W59" i="1"/>
  <c r="V59" i="1"/>
  <c r="U59" i="1"/>
  <c r="F59" i="1"/>
  <c r="W58" i="1"/>
  <c r="V58" i="1"/>
  <c r="U58" i="1"/>
  <c r="F58" i="1"/>
  <c r="W57" i="1"/>
  <c r="V57" i="1"/>
  <c r="U57" i="1"/>
  <c r="F57" i="1"/>
  <c r="W56" i="1"/>
  <c r="V56" i="1"/>
  <c r="U56" i="1"/>
  <c r="F56" i="1"/>
  <c r="W55" i="1"/>
  <c r="V55" i="1"/>
  <c r="U55" i="1"/>
  <c r="F55" i="1"/>
  <c r="W54" i="1"/>
  <c r="V54" i="1"/>
  <c r="U54" i="1"/>
  <c r="F54" i="1"/>
  <c r="W53" i="1"/>
  <c r="V53" i="1"/>
  <c r="U53" i="1"/>
  <c r="F53" i="1"/>
  <c r="W52" i="1"/>
  <c r="V52" i="1"/>
  <c r="U52" i="1"/>
  <c r="F52" i="1"/>
  <c r="W51" i="1"/>
  <c r="V51" i="1"/>
  <c r="U51" i="1"/>
  <c r="F51" i="1"/>
  <c r="W50" i="1"/>
  <c r="V50" i="1"/>
  <c r="U50" i="1"/>
  <c r="F50" i="1"/>
  <c r="W49" i="1"/>
  <c r="V49" i="1"/>
  <c r="U49" i="1"/>
  <c r="F49" i="1"/>
  <c r="W48" i="1"/>
  <c r="V48" i="1"/>
  <c r="U48" i="1"/>
  <c r="F48" i="1"/>
  <c r="W47" i="1"/>
  <c r="V47" i="1"/>
  <c r="U47" i="1"/>
  <c r="F47" i="1"/>
  <c r="W46" i="1"/>
  <c r="V46" i="1"/>
  <c r="U46" i="1"/>
  <c r="F46" i="1"/>
  <c r="W45" i="1"/>
  <c r="V45" i="1"/>
  <c r="U45" i="1"/>
  <c r="F45" i="1"/>
  <c r="W44" i="1"/>
  <c r="V44" i="1"/>
  <c r="U44" i="1"/>
  <c r="F44" i="1"/>
  <c r="W43" i="1"/>
  <c r="V43" i="1"/>
  <c r="U43" i="1"/>
  <c r="F43" i="1"/>
  <c r="W42" i="1"/>
  <c r="V42" i="1"/>
  <c r="U42" i="1"/>
  <c r="F42" i="1"/>
  <c r="W41" i="1"/>
  <c r="V41" i="1"/>
  <c r="U41" i="1"/>
  <c r="F41" i="1"/>
  <c r="W40" i="1"/>
  <c r="V40" i="1"/>
  <c r="U40" i="1"/>
  <c r="F40" i="1"/>
  <c r="W39" i="1"/>
  <c r="V39" i="1"/>
  <c r="U39" i="1"/>
  <c r="F39" i="1"/>
  <c r="W38" i="1"/>
  <c r="V38" i="1"/>
  <c r="U38" i="1"/>
  <c r="F38" i="1"/>
  <c r="W37" i="1"/>
  <c r="V37" i="1"/>
  <c r="U37" i="1"/>
  <c r="F37" i="1"/>
  <c r="W36" i="1"/>
  <c r="V36" i="1"/>
  <c r="U36" i="1"/>
  <c r="F36" i="1"/>
  <c r="W35" i="1"/>
  <c r="V35" i="1"/>
  <c r="U35" i="1"/>
  <c r="F35" i="1"/>
  <c r="W34" i="1"/>
  <c r="V34" i="1"/>
  <c r="U34" i="1"/>
  <c r="F34" i="1"/>
  <c r="W33" i="1"/>
  <c r="V33" i="1"/>
  <c r="U33" i="1"/>
  <c r="F33" i="1"/>
  <c r="W32" i="1"/>
  <c r="V32" i="1"/>
  <c r="U32" i="1"/>
  <c r="F32" i="1"/>
  <c r="W31" i="1"/>
  <c r="V31" i="1"/>
  <c r="U31" i="1"/>
  <c r="F31" i="1"/>
  <c r="W30" i="1"/>
  <c r="V30" i="1"/>
  <c r="U30" i="1"/>
  <c r="F30" i="1"/>
  <c r="W29" i="1"/>
  <c r="V29" i="1"/>
  <c r="U29" i="1"/>
  <c r="F29" i="1"/>
  <c r="W28" i="1"/>
  <c r="V28" i="1"/>
  <c r="U28" i="1"/>
  <c r="F28" i="1"/>
  <c r="W27" i="1"/>
  <c r="V27" i="1"/>
  <c r="U27" i="1"/>
  <c r="F27" i="1"/>
  <c r="W26" i="1"/>
  <c r="V26" i="1"/>
  <c r="U26" i="1"/>
  <c r="F26" i="1"/>
  <c r="W25" i="1"/>
  <c r="V25" i="1"/>
  <c r="U25" i="1"/>
  <c r="F25" i="1"/>
  <c r="W24" i="1"/>
  <c r="V24" i="1"/>
  <c r="U24" i="1"/>
  <c r="F24" i="1"/>
  <c r="W23" i="1"/>
  <c r="V23" i="1"/>
  <c r="U23" i="1"/>
  <c r="F23" i="1"/>
  <c r="W22" i="1"/>
  <c r="V22" i="1"/>
  <c r="U22" i="1"/>
  <c r="F22" i="1"/>
  <c r="W21" i="1"/>
  <c r="V21" i="1"/>
  <c r="U21" i="1"/>
  <c r="F21" i="1"/>
  <c r="W20" i="1"/>
  <c r="V20" i="1"/>
  <c r="U20" i="1"/>
  <c r="F20" i="1"/>
  <c r="W19" i="1"/>
  <c r="V19" i="1"/>
  <c r="U19" i="1"/>
  <c r="F19" i="1"/>
  <c r="W18" i="1"/>
  <c r="V18" i="1"/>
  <c r="U18" i="1"/>
  <c r="F18" i="1"/>
  <c r="W17" i="1"/>
  <c r="V17" i="1"/>
  <c r="U17" i="1"/>
  <c r="F17" i="1"/>
  <c r="W16" i="1"/>
  <c r="V16" i="1"/>
  <c r="U16" i="1"/>
  <c r="F16" i="1"/>
  <c r="W15" i="1"/>
  <c r="V15" i="1"/>
  <c r="U15" i="1"/>
  <c r="F15" i="1"/>
  <c r="W14" i="1"/>
  <c r="V14" i="1"/>
  <c r="U14" i="1"/>
  <c r="F14" i="1"/>
  <c r="W13" i="1"/>
  <c r="V13" i="1"/>
  <c r="U13" i="1"/>
  <c r="F13" i="1"/>
  <c r="I26" i="4"/>
  <c r="C28" i="4"/>
  <c r="H23" i="4" l="1"/>
  <c r="B25" i="4"/>
  <c r="D28" i="4"/>
  <c r="G32" i="4"/>
  <c r="I23" i="4"/>
  <c r="C25" i="4"/>
  <c r="G28" i="4"/>
  <c r="H32" i="4"/>
  <c r="B22" i="4"/>
  <c r="D25" i="4"/>
  <c r="H28" i="4"/>
  <c r="G30" i="4"/>
  <c r="I32" i="4"/>
  <c r="C22" i="4"/>
  <c r="G25" i="4"/>
  <c r="I28" i="4"/>
  <c r="H30" i="4"/>
  <c r="G33" i="4"/>
  <c r="D22" i="4"/>
  <c r="H25" i="4"/>
  <c r="B27" i="4"/>
  <c r="I30" i="4"/>
  <c r="H33" i="4"/>
  <c r="G22" i="4"/>
  <c r="I25" i="4"/>
  <c r="C27" i="4"/>
  <c r="I33" i="4"/>
  <c r="H22" i="4"/>
  <c r="B24" i="4"/>
  <c r="D27" i="4"/>
  <c r="I22" i="4"/>
  <c r="C24" i="4"/>
  <c r="G27" i="4"/>
  <c r="D24" i="4"/>
  <c r="H27" i="4"/>
  <c r="B29" i="4"/>
  <c r="G24" i="4"/>
  <c r="I27" i="4"/>
  <c r="C29" i="4"/>
  <c r="G31" i="4"/>
  <c r="H24" i="4"/>
  <c r="B26" i="4"/>
  <c r="D29" i="4"/>
  <c r="H31" i="4"/>
  <c r="I24" i="4"/>
  <c r="C26" i="4"/>
  <c r="G29" i="4"/>
  <c r="I31" i="4"/>
  <c r="B23" i="4"/>
  <c r="D26" i="4"/>
  <c r="H29" i="4"/>
  <c r="C23" i="4"/>
  <c r="G26" i="4"/>
  <c r="I29" i="4"/>
  <c r="D23" i="4"/>
  <c r="H26" i="4"/>
  <c r="B28" i="4"/>
  <c r="G23" i="4"/>
</calcChain>
</file>

<file path=xl/sharedStrings.xml><?xml version="1.0" encoding="utf-8"?>
<sst xmlns="http://schemas.openxmlformats.org/spreadsheetml/2006/main" count="227" uniqueCount="161">
  <si>
    <t>ID</t>
  </si>
  <si>
    <t>Data</t>
  </si>
  <si>
    <t>Album</t>
  </si>
  <si>
    <t>Artista</t>
  </si>
  <si>
    <t>Ano lançamento</t>
  </si>
  <si>
    <t>Década</t>
  </si>
  <si>
    <t>Gênero</t>
  </si>
  <si>
    <t>Subgênero</t>
  </si>
  <si>
    <t>País</t>
  </si>
  <si>
    <t>Formato</t>
  </si>
  <si>
    <t>Plataforma/Mídia</t>
  </si>
  <si>
    <t>Tipo de audição</t>
  </si>
  <si>
    <t>Faixas ouvidas</t>
  </si>
  <si>
    <t>Duração min</t>
  </si>
  <si>
    <t>Nota 0-10</t>
  </si>
  <si>
    <t>Humor</t>
  </si>
  <si>
    <t>Local</t>
  </si>
  <si>
    <t>Companhia</t>
  </si>
  <si>
    <t>Favorito?</t>
  </si>
  <si>
    <t>Reouvir?</t>
  </si>
  <si>
    <t>Mês</t>
  </si>
  <si>
    <t>Ano audição</t>
  </si>
  <si>
    <t>Semana</t>
  </si>
  <si>
    <t>Observações</t>
  </si>
  <si>
    <t>The Dark Side of the Moon</t>
  </si>
  <si>
    <t>Pink Floyd</t>
  </si>
  <si>
    <t>Rock</t>
  </si>
  <si>
    <t>Progressivo</t>
  </si>
  <si>
    <t>Reino Unido</t>
  </si>
  <si>
    <t>Vinil</t>
  </si>
  <si>
    <t>Toca-discos</t>
  </si>
  <si>
    <t>Reouvida</t>
  </si>
  <si>
    <t>Reflexivo</t>
  </si>
  <si>
    <t>Casa</t>
  </si>
  <si>
    <t>Sozinho</t>
  </si>
  <si>
    <t>Sim</t>
  </si>
  <si>
    <t>Exemplo editável</t>
  </si>
  <si>
    <t>Milton Nascimento &amp; Lô Borges</t>
  </si>
  <si>
    <t>MPB</t>
  </si>
  <si>
    <t>Audição focada</t>
  </si>
  <si>
    <t>Nostálgico</t>
  </si>
  <si>
    <t>Família</t>
  </si>
  <si>
    <t>Miles Davis</t>
  </si>
  <si>
    <t>Jazz</t>
  </si>
  <si>
    <t>CD</t>
  </si>
  <si>
    <t>Primeira vez</t>
  </si>
  <si>
    <t>Calmo</t>
  </si>
  <si>
    <t>Trabalho</t>
  </si>
  <si>
    <t>Stevie Wonder</t>
  </si>
  <si>
    <t>Soul</t>
  </si>
  <si>
    <t>Streaming</t>
  </si>
  <si>
    <t>Spotify</t>
  </si>
  <si>
    <t>Descoberta</t>
  </si>
  <si>
    <t>Feliz</t>
  </si>
  <si>
    <t>Amigos</t>
  </si>
  <si>
    <t>Caetano Veloso</t>
  </si>
  <si>
    <t>Relaxado</t>
  </si>
  <si>
    <t>Talking Heads</t>
  </si>
  <si>
    <t>Empolgado</t>
  </si>
  <si>
    <t>Carro</t>
  </si>
  <si>
    <t>Não</t>
  </si>
  <si>
    <t>Michael Jackson</t>
  </si>
  <si>
    <t>Pop</t>
  </si>
  <si>
    <t>Apple Music</t>
  </si>
  <si>
    <t>Animado</t>
  </si>
  <si>
    <t>The Clash</t>
  </si>
  <si>
    <t>Punk</t>
  </si>
  <si>
    <t>Digital</t>
  </si>
  <si>
    <t>Rua</t>
  </si>
  <si>
    <t>Joni Mitchell</t>
  </si>
  <si>
    <t>Folk</t>
  </si>
  <si>
    <t>Jorge Ben Jor</t>
  </si>
  <si>
    <t>Gênero principal</t>
  </si>
  <si>
    <t>Gravadora</t>
  </si>
  <si>
    <t>Faixas</t>
  </si>
  <si>
    <t>Tenho físico?</t>
  </si>
  <si>
    <t>Formato físico</t>
  </si>
  <si>
    <t>Status coleção</t>
  </si>
  <si>
    <t>Harvest</t>
  </si>
  <si>
    <t>Tenho</t>
  </si>
  <si>
    <t>Gêneros</t>
  </si>
  <si>
    <t>Formatos</t>
  </si>
  <si>
    <t>Plataformas</t>
  </si>
  <si>
    <t>Sim/Não</t>
  </si>
  <si>
    <t>Cassete</t>
  </si>
  <si>
    <t>YouTube Music</t>
  </si>
  <si>
    <t>Background</t>
  </si>
  <si>
    <t>Triste</t>
  </si>
  <si>
    <t>Parceiro(a)</t>
  </si>
  <si>
    <t>Blues</t>
  </si>
  <si>
    <t>YouTube</t>
  </si>
  <si>
    <t>Viagem</t>
  </si>
  <si>
    <t>Banda</t>
  </si>
  <si>
    <t>Arquivo</t>
  </si>
  <si>
    <t>Deezer</t>
  </si>
  <si>
    <t>Coleção física</t>
  </si>
  <si>
    <t>Estúdio</t>
  </si>
  <si>
    <t>Funk</t>
  </si>
  <si>
    <t>Rádio</t>
  </si>
  <si>
    <t>Bandcamp</t>
  </si>
  <si>
    <t>Recomendação</t>
  </si>
  <si>
    <t>Academia</t>
  </si>
  <si>
    <t>Disco</t>
  </si>
  <si>
    <t>Outro</t>
  </si>
  <si>
    <t>Estudo</t>
  </si>
  <si>
    <t>Cansado</t>
  </si>
  <si>
    <t>Reggae</t>
  </si>
  <si>
    <t>Hip Hop</t>
  </si>
  <si>
    <t>Metal</t>
  </si>
  <si>
    <t>Eletrônica</t>
  </si>
  <si>
    <t>Clássica</t>
  </si>
  <si>
    <t>Trilha Sonora</t>
  </si>
  <si>
    <t>Indie</t>
  </si>
  <si>
    <t>Samba</t>
  </si>
  <si>
    <t>Bossa Nova</t>
  </si>
  <si>
    <t>Resumo por Artista</t>
  </si>
  <si>
    <t>Resumo por Gênero</t>
  </si>
  <si>
    <t>Resumo por formato</t>
  </si>
  <si>
    <t>Qtd audições</t>
  </si>
  <si>
    <t>Horas</t>
  </si>
  <si>
    <t>Nota média</t>
  </si>
  <si>
    <t>Resumo por Década</t>
  </si>
  <si>
    <t>Resumo mensal</t>
  </si>
  <si>
    <t>Top álbuns por nota</t>
  </si>
  <si>
    <t>Nota</t>
  </si>
  <si>
    <t>1950s</t>
  </si>
  <si>
    <t>2026-01</t>
  </si>
  <si>
    <t>1960s</t>
  </si>
  <si>
    <t>2026-02</t>
  </si>
  <si>
    <t>1970s</t>
  </si>
  <si>
    <t>2026-03</t>
  </si>
  <si>
    <t>1980s</t>
  </si>
  <si>
    <t>2026-04</t>
  </si>
  <si>
    <t>1990s</t>
  </si>
  <si>
    <t>2026-05</t>
  </si>
  <si>
    <t>2000s</t>
  </si>
  <si>
    <t>2026-06</t>
  </si>
  <si>
    <t>2010s</t>
  </si>
  <si>
    <t>2026-07</t>
  </si>
  <si>
    <t>2020s</t>
  </si>
  <si>
    <t>2026-08</t>
  </si>
  <si>
    <t>2026-09</t>
  </si>
  <si>
    <t>2026-10</t>
  </si>
  <si>
    <t>2026-11</t>
  </si>
  <si>
    <t>2026-12</t>
  </si>
  <si>
    <t>Dashboard de Audições de Discos</t>
  </si>
  <si>
    <t>Total de audições</t>
  </si>
  <si>
    <t>Discos únicos</t>
  </si>
  <si>
    <t>Artistas únicos</t>
  </si>
  <si>
    <t>Horas ouvidas</t>
  </si>
  <si>
    <t>Favoritos</t>
  </si>
  <si>
    <t>Top artistas</t>
  </si>
  <si>
    <t>Audições</t>
  </si>
  <si>
    <t>Como usar a planilha</t>
  </si>
  <si>
    <t>1. Registre cada audição na aba Registro. Cada linha representa uma audição de um álbum/disco.</t>
  </si>
  <si>
    <t>2. Use as listas suspensas para padronizar gênero, formato, plataforma, humor, local e favorito.</t>
  </si>
  <si>
    <t>3. A aba Catálogo serve para controlar sua coleção e dados fixos dos álbuns.</t>
  </si>
  <si>
    <t>4. As abas Resumos e Dashboard são atualizadas por fórmulas. Depois de inserir muitos dados, salve/reabra no Excel para recalcular tudo.</t>
  </si>
  <si>
    <t>5. Você pode apagar os exemplos das linhas 2 a 11 do Registro e começar com seus próprios discos.</t>
  </si>
  <si>
    <t>6. Métricas incluídas: audições por mês, gênero, artista, década, formato, horas ouvidas, nota média, favoritos e top álbuns.</t>
  </si>
  <si>
    <t>7. Dica: mantenha nomes de artistas e álbuns sempre escritos do mesmo jeito para melhorar os gráficos.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</si>
</sst>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8"/>
      <color rgb="FFFFFFFF"/>
      <name val="Carlito"/>
    </font>
    <font>
      <b/>
      <sz val="11"/>
      <color rgb="FF111827"/>
      <name val="Carlito"/>
    </font>
    <font>
      <b/>
      <sz val="16"/>
      <color rgb="FF7C3AED"/>
      <name val="Carlito"/>
    </font>
    <font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left" vertical="center"/>
    </xf>
    <xf numFmtId="0" fontId="4" fillId="4" borderId="0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Border="1" applyAlignment="1">
      <alignment horizontal="center" vertical="center"/>
    </xf>
    <xf numFmtId="1" fontId="5" fillId="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4" fontId="0" fillId="0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Qtd audições</c:v>
          </c:tx>
          <c:invertIfNegative val="1"/>
          <c:cat>
            <c:strRef>
              <c:f>Resumos!$F$22:$F$33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Resumos!$G$22:$G$33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1-49BC-86BF-C7D9E3742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Qtd audições</c:v>
          </c:tx>
          <c:invertIfNegative val="1"/>
          <c:cat>
            <c:strRef>
              <c:f>Resumos!$F$3:$F$14</c:f>
              <c:strCache>
                <c:ptCount val="12"/>
                <c:pt idx="0">
                  <c:v>Rock</c:v>
                </c:pt>
                <c:pt idx="1">
                  <c:v>MPB</c:v>
                </c:pt>
                <c:pt idx="2">
                  <c:v>Jazz</c:v>
                </c:pt>
                <c:pt idx="3">
                  <c:v>Soul</c:v>
                </c:pt>
                <c:pt idx="4">
                  <c:v>Pop</c:v>
                </c:pt>
                <c:pt idx="5">
                  <c:v>Punk</c:v>
                </c:pt>
                <c:pt idx="6">
                  <c:v>Folk</c:v>
                </c:pt>
                <c:pt idx="7">
                  <c:v>Blues</c:v>
                </c:pt>
                <c:pt idx="8">
                  <c:v>Funk</c:v>
                </c:pt>
                <c:pt idx="9">
                  <c:v>Disco</c:v>
                </c:pt>
                <c:pt idx="10">
                  <c:v>Hip Hop</c:v>
                </c:pt>
                <c:pt idx="11">
                  <c:v>Metal</c:v>
                </c:pt>
              </c:strCache>
            </c:strRef>
          </c:cat>
          <c:val>
            <c:numRef>
              <c:f>Resumos!$G$3:$G$14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A-4B9A-9E08-DF953BD7F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Qtd audições</c:v>
          </c:tx>
          <c:invertIfNegative val="1"/>
          <c:cat>
            <c:strRef>
              <c:f>Resumos!$A$22:$A$29</c:f>
              <c:strCache>
                <c:ptCount val="8"/>
                <c:pt idx="0">
                  <c:v>1950s</c:v>
                </c:pt>
                <c:pt idx="1">
                  <c:v>1960s</c:v>
                </c:pt>
                <c:pt idx="2">
                  <c:v>1970s</c:v>
                </c:pt>
                <c:pt idx="3">
                  <c:v>1980s</c:v>
                </c:pt>
                <c:pt idx="4">
                  <c:v>1990s</c:v>
                </c:pt>
                <c:pt idx="5">
                  <c:v>2000s</c:v>
                </c:pt>
                <c:pt idx="6">
                  <c:v>2010s</c:v>
                </c:pt>
                <c:pt idx="7">
                  <c:v>2020s</c:v>
                </c:pt>
              </c:strCache>
            </c:strRef>
          </c:cat>
          <c:val>
            <c:numRef>
              <c:f>Resumos!$B$22:$B$29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1-4A84-8BBB-623AED73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Qtd audições</c:v>
          </c:tx>
          <c:cat>
            <c:strRef>
              <c:f>Resumos!$K$3:$K$10</c:f>
              <c:strCache>
                <c:ptCount val="8"/>
                <c:pt idx="0">
                  <c:v>Vinil</c:v>
                </c:pt>
                <c:pt idx="1">
                  <c:v>CD</c:v>
                </c:pt>
                <c:pt idx="2">
                  <c:v>Digital</c:v>
                </c:pt>
                <c:pt idx="3">
                  <c:v>Cassete</c:v>
                </c:pt>
                <c:pt idx="4">
                  <c:v>Streaming</c:v>
                </c:pt>
                <c:pt idx="5">
                  <c:v>Arquivo</c:v>
                </c:pt>
                <c:pt idx="6">
                  <c:v>Rádio</c:v>
                </c:pt>
                <c:pt idx="7">
                  <c:v>Outro</c:v>
                </c:pt>
              </c:strCache>
            </c:strRef>
          </c:cat>
          <c:val>
            <c:numRef>
              <c:f>Resumos!$L$3:$L$10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63C-A8B8-E4B52ACBA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gistroAudicoes" displayName="RegistroAudicoes" ref="A1:X300">
  <tableColumns count="24">
    <tableColumn id="1" xr3:uid="{00000000-0010-0000-0000-000001000000}" name="ID"/>
    <tableColumn id="2" xr3:uid="{00000000-0010-0000-0000-000002000000}" name="Data"/>
    <tableColumn id="3" xr3:uid="{00000000-0010-0000-0000-000003000000}" name="Album"/>
    <tableColumn id="4" xr3:uid="{00000000-0010-0000-0000-000004000000}" name="Artista"/>
    <tableColumn id="5" xr3:uid="{00000000-0010-0000-0000-000005000000}" name="Ano lançamento"/>
    <tableColumn id="6" xr3:uid="{00000000-0010-0000-0000-000006000000}" name="Década"/>
    <tableColumn id="7" xr3:uid="{00000000-0010-0000-0000-000007000000}" name="Gênero"/>
    <tableColumn id="8" xr3:uid="{00000000-0010-0000-0000-000008000000}" name="Subgênero"/>
    <tableColumn id="9" xr3:uid="{00000000-0010-0000-0000-000009000000}" name="País"/>
    <tableColumn id="10" xr3:uid="{00000000-0010-0000-0000-00000A000000}" name="Formato"/>
    <tableColumn id="11" xr3:uid="{00000000-0010-0000-0000-00000B000000}" name="Plataforma/Mídia"/>
    <tableColumn id="12" xr3:uid="{00000000-0010-0000-0000-00000C000000}" name="Tipo de audição"/>
    <tableColumn id="13" xr3:uid="{00000000-0010-0000-0000-00000D000000}" name="Faixas ouvidas"/>
    <tableColumn id="14" xr3:uid="{00000000-0010-0000-0000-00000E000000}" name="Duração min"/>
    <tableColumn id="15" xr3:uid="{00000000-0010-0000-0000-00000F000000}" name="Nota 0-10"/>
    <tableColumn id="16" xr3:uid="{00000000-0010-0000-0000-000010000000}" name="Humor"/>
    <tableColumn id="17" xr3:uid="{00000000-0010-0000-0000-000011000000}" name="Local"/>
    <tableColumn id="18" xr3:uid="{00000000-0010-0000-0000-000012000000}" name="Companhia"/>
    <tableColumn id="19" xr3:uid="{00000000-0010-0000-0000-000013000000}" name="Favorito?"/>
    <tableColumn id="20" xr3:uid="{00000000-0010-0000-0000-000014000000}" name="Reouvir?"/>
    <tableColumn id="21" xr3:uid="{00000000-0010-0000-0000-000015000000}" name="Mês"/>
    <tableColumn id="22" xr3:uid="{00000000-0010-0000-0000-000016000000}" name="Ano audição"/>
    <tableColumn id="23" xr3:uid="{00000000-0010-0000-0000-000017000000}" name="Semana"/>
    <tableColumn id="24" xr3:uid="{00000000-0010-0000-0000-000018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alogoDiscos" displayName="CatalogoDiscos" ref="A1:N300">
  <tableColumns count="14">
    <tableColumn id="1" xr3:uid="{00000000-0010-0000-0100-000001000000}" name="Album"/>
    <tableColumn id="2" xr3:uid="{00000000-0010-0000-0100-000002000000}" name="Artista"/>
    <tableColumn id="3" xr3:uid="{00000000-0010-0000-0100-000003000000}" name="Ano lançamento"/>
    <tableColumn id="4" xr3:uid="{00000000-0010-0000-0100-000004000000}" name="Década"/>
    <tableColumn id="5" xr3:uid="{00000000-0010-0000-0100-000005000000}" name="Gênero principal"/>
    <tableColumn id="6" xr3:uid="{00000000-0010-0000-0100-000006000000}" name="Subgênero"/>
    <tableColumn id="7" xr3:uid="{00000000-0010-0000-0100-000007000000}" name="País"/>
    <tableColumn id="8" xr3:uid="{00000000-0010-0000-0100-000008000000}" name="Gravadora"/>
    <tableColumn id="9" xr3:uid="{00000000-0010-0000-0100-000009000000}" name="Faixas"/>
    <tableColumn id="10" xr3:uid="{00000000-0010-0000-0100-00000A000000}" name="Duração min"/>
    <tableColumn id="11" xr3:uid="{00000000-0010-0000-0100-00000B000000}" name="Tenho físico?"/>
    <tableColumn id="12" xr3:uid="{00000000-0010-0000-0100-00000C000000}" name="Formato físico"/>
    <tableColumn id="13" xr3:uid="{00000000-0010-0000-0100-00000D000000}" name="Status coleção"/>
    <tableColumn id="14" xr3:uid="{00000000-0010-0000-0100-00000E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ListasTabela" displayName="ListasTabela" ref="A1:H21">
  <tableColumns count="8">
    <tableColumn id="1" xr3:uid="{00000000-0010-0000-0200-000001000000}" name="Gêneros"/>
    <tableColumn id="2" xr3:uid="{00000000-0010-0000-0200-000002000000}" name="Formatos"/>
    <tableColumn id="3" xr3:uid="{00000000-0010-0000-0200-000003000000}" name="Plataformas"/>
    <tableColumn id="4" xr3:uid="{00000000-0010-0000-0200-000004000000}" name="Tipo de audição"/>
    <tableColumn id="5" xr3:uid="{00000000-0010-0000-0200-000005000000}" name="Humor"/>
    <tableColumn id="6" xr3:uid="{00000000-0010-0000-0200-000006000000}" name="Local"/>
    <tableColumn id="7" xr3:uid="{00000000-0010-0000-0200-000007000000}" name="Companhia"/>
    <tableColumn id="8" xr3:uid="{00000000-0010-0000-0200-000008000000}" name="Sim/N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"/>
  <sheetViews>
    <sheetView workbookViewId="0">
      <selection activeCell="C17" sqref="C17"/>
    </sheetView>
  </sheetViews>
  <sheetFormatPr defaultRowHeight="14.25"/>
  <cols>
    <col min="1" max="2" width="16" customWidth="1"/>
    <col min="3" max="3" width="32" customWidth="1"/>
    <col min="4" max="4" width="28" customWidth="1"/>
    <col min="5" max="23" width="16" customWidth="1"/>
    <col min="24" max="24" width="40" customWidth="1"/>
  </cols>
  <sheetData>
    <row r="1" spans="1:26" ht="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 t="str">
        <f t="shared" ref="F2:F65" si="0">IF(E13="","",INT(E13/10)*10&amp;"s")</f>
        <v/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 t="str">
        <f t="shared" ref="U2:U65" si="1">IF(B13="","",TEXT(B13,"yyyy-mm"))</f>
        <v/>
      </c>
      <c r="V13" s="8" t="str">
        <f t="shared" ref="V2:V65" si="2">IF(B13="","",YEAR(B13))</f>
        <v/>
      </c>
      <c r="W13" s="8" t="str">
        <f t="shared" ref="W2:W65" si="3">IF(B13="","",WEEKNUM(B13,2))</f>
        <v/>
      </c>
      <c r="X13" s="8"/>
      <c r="Y13" s="8"/>
      <c r="Z13" s="8"/>
    </row>
    <row r="14" spans="1:26">
      <c r="A14" s="8"/>
      <c r="B14" s="8"/>
      <c r="C14" s="8"/>
      <c r="D14" s="8"/>
      <c r="E14" s="8"/>
      <c r="F14" s="8" t="str">
        <f t="shared" si="0"/>
        <v/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 t="str">
        <f t="shared" si="1"/>
        <v/>
      </c>
      <c r="V14" s="8" t="str">
        <f t="shared" si="2"/>
        <v/>
      </c>
      <c r="W14" s="8" t="str">
        <f t="shared" si="3"/>
        <v/>
      </c>
      <c r="X14" s="8"/>
      <c r="Y14" s="8"/>
      <c r="Z14" s="8"/>
    </row>
    <row r="15" spans="1:26">
      <c r="A15" s="8"/>
      <c r="B15" s="8"/>
      <c r="C15" s="8"/>
      <c r="D15" s="8"/>
      <c r="E15" s="8"/>
      <c r="F15" s="8" t="str">
        <f t="shared" si="0"/>
        <v/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tr">
        <f t="shared" si="1"/>
        <v/>
      </c>
      <c r="V15" s="8" t="str">
        <f t="shared" si="2"/>
        <v/>
      </c>
      <c r="W15" s="8" t="str">
        <f t="shared" si="3"/>
        <v/>
      </c>
      <c r="X15" s="8"/>
      <c r="Y15" s="8"/>
      <c r="Z15" s="8"/>
    </row>
    <row r="16" spans="1:26">
      <c r="A16" s="8"/>
      <c r="B16" s="8"/>
      <c r="C16" s="8"/>
      <c r="D16" s="8"/>
      <c r="E16" s="8"/>
      <c r="F16" s="8" t="str">
        <f t="shared" si="0"/>
        <v/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str">
        <f t="shared" si="1"/>
        <v/>
      </c>
      <c r="V16" s="8" t="str">
        <f t="shared" si="2"/>
        <v/>
      </c>
      <c r="W16" s="8" t="str">
        <f t="shared" si="3"/>
        <v/>
      </c>
      <c r="X16" s="8"/>
      <c r="Y16" s="8"/>
      <c r="Z16" s="8"/>
    </row>
    <row r="17" spans="1:26">
      <c r="A17" s="8"/>
      <c r="B17" s="8"/>
      <c r="C17" s="8"/>
      <c r="D17" s="8"/>
      <c r="E17" s="8"/>
      <c r="F17" s="8" t="str">
        <f t="shared" si="0"/>
        <v/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 t="str">
        <f t="shared" si="1"/>
        <v/>
      </c>
      <c r="V17" s="8" t="str">
        <f t="shared" si="2"/>
        <v/>
      </c>
      <c r="W17" s="8" t="str">
        <f t="shared" si="3"/>
        <v/>
      </c>
      <c r="X17" s="8"/>
      <c r="Y17" s="8"/>
      <c r="Z17" s="8"/>
    </row>
    <row r="18" spans="1:26">
      <c r="A18" s="8"/>
      <c r="B18" s="8"/>
      <c r="C18" s="8"/>
      <c r="D18" s="8"/>
      <c r="E18" s="8"/>
      <c r="F18" s="8" t="str">
        <f t="shared" si="0"/>
        <v/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 t="str">
        <f t="shared" si="1"/>
        <v/>
      </c>
      <c r="V18" s="8" t="str">
        <f t="shared" si="2"/>
        <v/>
      </c>
      <c r="W18" s="8" t="str">
        <f t="shared" si="3"/>
        <v/>
      </c>
      <c r="X18" s="8"/>
      <c r="Y18" s="8"/>
      <c r="Z18" s="8"/>
    </row>
    <row r="19" spans="1:26">
      <c r="A19" s="8"/>
      <c r="B19" s="8"/>
      <c r="C19" s="8"/>
      <c r="D19" s="8"/>
      <c r="E19" s="8"/>
      <c r="F19" s="8" t="str">
        <f t="shared" si="0"/>
        <v/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 t="str">
        <f t="shared" si="1"/>
        <v/>
      </c>
      <c r="V19" s="8" t="str">
        <f t="shared" si="2"/>
        <v/>
      </c>
      <c r="W19" s="8" t="str">
        <f t="shared" si="3"/>
        <v/>
      </c>
      <c r="X19" s="8"/>
      <c r="Y19" s="8"/>
      <c r="Z19" s="8"/>
    </row>
    <row r="20" spans="1:26">
      <c r="A20" s="8"/>
      <c r="B20" s="8"/>
      <c r="C20" s="8"/>
      <c r="D20" s="8"/>
      <c r="E20" s="8"/>
      <c r="F20" s="8" t="str">
        <f t="shared" si="0"/>
        <v/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 t="str">
        <f t="shared" si="1"/>
        <v/>
      </c>
      <c r="V20" s="8" t="str">
        <f t="shared" si="2"/>
        <v/>
      </c>
      <c r="W20" s="8" t="str">
        <f t="shared" si="3"/>
        <v/>
      </c>
      <c r="X20" s="8"/>
      <c r="Y20" s="8"/>
      <c r="Z20" s="8"/>
    </row>
    <row r="21" spans="1:26">
      <c r="A21" s="8"/>
      <c r="B21" s="8"/>
      <c r="C21" s="8"/>
      <c r="D21" s="8"/>
      <c r="E21" s="8"/>
      <c r="F21" s="8" t="str">
        <f t="shared" si="0"/>
        <v/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 t="str">
        <f t="shared" si="1"/>
        <v/>
      </c>
      <c r="V21" s="8" t="str">
        <f t="shared" si="2"/>
        <v/>
      </c>
      <c r="W21" s="8" t="str">
        <f t="shared" si="3"/>
        <v/>
      </c>
      <c r="X21" s="8"/>
      <c r="Y21" s="8"/>
      <c r="Z21" s="8"/>
    </row>
    <row r="22" spans="1:26">
      <c r="A22" s="8"/>
      <c r="B22" s="8"/>
      <c r="C22" s="8"/>
      <c r="D22" s="8"/>
      <c r="E22" s="8"/>
      <c r="F22" s="8" t="str">
        <f t="shared" si="0"/>
        <v/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 t="str">
        <f t="shared" si="1"/>
        <v/>
      </c>
      <c r="V22" s="8" t="str">
        <f t="shared" si="2"/>
        <v/>
      </c>
      <c r="W22" s="8" t="str">
        <f t="shared" si="3"/>
        <v/>
      </c>
      <c r="X22" s="8"/>
      <c r="Y22" s="8"/>
      <c r="Z22" s="8"/>
    </row>
    <row r="23" spans="1:26">
      <c r="A23" s="8"/>
      <c r="B23" s="8"/>
      <c r="C23" s="8"/>
      <c r="D23" s="8"/>
      <c r="E23" s="8"/>
      <c r="F23" s="8" t="str">
        <f t="shared" si="0"/>
        <v/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 t="str">
        <f t="shared" si="1"/>
        <v/>
      </c>
      <c r="V23" s="8" t="str">
        <f t="shared" si="2"/>
        <v/>
      </c>
      <c r="W23" s="8" t="str">
        <f t="shared" si="3"/>
        <v/>
      </c>
      <c r="X23" s="8"/>
      <c r="Y23" s="8"/>
      <c r="Z23" s="8"/>
    </row>
    <row r="24" spans="1:26">
      <c r="A24" s="8"/>
      <c r="B24" s="8"/>
      <c r="C24" s="8"/>
      <c r="D24" s="8"/>
      <c r="E24" s="8"/>
      <c r="F24" s="8" t="str">
        <f t="shared" si="0"/>
        <v/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 t="str">
        <f t="shared" si="1"/>
        <v/>
      </c>
      <c r="V24" s="8" t="str">
        <f t="shared" si="2"/>
        <v/>
      </c>
      <c r="W24" s="8" t="str">
        <f t="shared" si="3"/>
        <v/>
      </c>
      <c r="X24" s="8"/>
      <c r="Y24" s="8"/>
      <c r="Z24" s="8"/>
    </row>
    <row r="25" spans="1:26">
      <c r="A25" s="8"/>
      <c r="B25" s="8"/>
      <c r="C25" s="8"/>
      <c r="D25" s="8"/>
      <c r="E25" s="8"/>
      <c r="F25" s="8" t="str">
        <f t="shared" si="0"/>
        <v/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 t="str">
        <f t="shared" si="1"/>
        <v/>
      </c>
      <c r="V25" s="8" t="str">
        <f t="shared" si="2"/>
        <v/>
      </c>
      <c r="W25" s="8" t="str">
        <f t="shared" si="3"/>
        <v/>
      </c>
      <c r="X25" s="8"/>
      <c r="Y25" s="8"/>
      <c r="Z25" s="8"/>
    </row>
    <row r="26" spans="1:26">
      <c r="A26" s="8"/>
      <c r="B26" s="8"/>
      <c r="C26" s="8"/>
      <c r="D26" s="8"/>
      <c r="E26" s="8"/>
      <c r="F26" s="8" t="str">
        <f t="shared" si="0"/>
        <v/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 t="str">
        <f t="shared" si="1"/>
        <v/>
      </c>
      <c r="V26" s="8" t="str">
        <f t="shared" si="2"/>
        <v/>
      </c>
      <c r="W26" s="8" t="str">
        <f t="shared" si="3"/>
        <v/>
      </c>
      <c r="X26" s="8"/>
      <c r="Y26" s="8"/>
      <c r="Z26" s="8"/>
    </row>
    <row r="27" spans="1:26">
      <c r="A27" s="8"/>
      <c r="B27" s="8"/>
      <c r="C27" s="8"/>
      <c r="D27" s="8"/>
      <c r="E27" s="8"/>
      <c r="F27" s="8" t="str">
        <f t="shared" si="0"/>
        <v/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 t="str">
        <f t="shared" si="1"/>
        <v/>
      </c>
      <c r="V27" s="8" t="str">
        <f t="shared" si="2"/>
        <v/>
      </c>
      <c r="W27" s="8" t="str">
        <f t="shared" si="3"/>
        <v/>
      </c>
      <c r="X27" s="8"/>
      <c r="Y27" s="8"/>
      <c r="Z27" s="8"/>
    </row>
    <row r="28" spans="1:26">
      <c r="A28" s="8"/>
      <c r="B28" s="8"/>
      <c r="C28" s="8"/>
      <c r="D28" s="8"/>
      <c r="E28" s="8"/>
      <c r="F28" s="8" t="str">
        <f t="shared" si="0"/>
        <v/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 t="str">
        <f t="shared" si="1"/>
        <v/>
      </c>
      <c r="V28" s="8" t="str">
        <f t="shared" si="2"/>
        <v/>
      </c>
      <c r="W28" s="8" t="str">
        <f t="shared" si="3"/>
        <v/>
      </c>
      <c r="X28" s="8"/>
      <c r="Y28" s="8"/>
      <c r="Z28" s="8"/>
    </row>
    <row r="29" spans="1:26">
      <c r="A29" s="8"/>
      <c r="B29" s="8"/>
      <c r="C29" s="8"/>
      <c r="D29" s="8"/>
      <c r="E29" s="8"/>
      <c r="F29" s="8" t="str">
        <f t="shared" si="0"/>
        <v/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 t="str">
        <f t="shared" si="1"/>
        <v/>
      </c>
      <c r="V29" s="8" t="str">
        <f t="shared" si="2"/>
        <v/>
      </c>
      <c r="W29" s="8" t="str">
        <f t="shared" si="3"/>
        <v/>
      </c>
      <c r="X29" s="8"/>
      <c r="Y29" s="8"/>
      <c r="Z29" s="8"/>
    </row>
    <row r="30" spans="1:26">
      <c r="A30" s="8"/>
      <c r="B30" s="8"/>
      <c r="C30" s="8"/>
      <c r="D30" s="8"/>
      <c r="E30" s="8"/>
      <c r="F30" s="8" t="str">
        <f t="shared" si="0"/>
        <v/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 t="str">
        <f t="shared" si="1"/>
        <v/>
      </c>
      <c r="V30" s="8" t="str">
        <f t="shared" si="2"/>
        <v/>
      </c>
      <c r="W30" s="8" t="str">
        <f t="shared" si="3"/>
        <v/>
      </c>
      <c r="X30" s="8"/>
      <c r="Y30" s="8"/>
      <c r="Z30" s="8"/>
    </row>
    <row r="31" spans="1:26">
      <c r="A31" s="8"/>
      <c r="B31" s="8"/>
      <c r="C31" s="8"/>
      <c r="D31" s="8"/>
      <c r="E31" s="8"/>
      <c r="F31" s="8" t="str">
        <f t="shared" si="0"/>
        <v/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 t="str">
        <f t="shared" si="1"/>
        <v/>
      </c>
      <c r="V31" s="8" t="str">
        <f t="shared" si="2"/>
        <v/>
      </c>
      <c r="W31" s="8" t="str">
        <f t="shared" si="3"/>
        <v/>
      </c>
      <c r="X31" s="8"/>
      <c r="Y31" s="8"/>
      <c r="Z31" s="8"/>
    </row>
    <row r="32" spans="1:26">
      <c r="A32" s="8"/>
      <c r="B32" s="8"/>
      <c r="C32" s="8"/>
      <c r="D32" s="8"/>
      <c r="E32" s="8"/>
      <c r="F32" s="8" t="str">
        <f t="shared" si="0"/>
        <v/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 t="str">
        <f t="shared" si="1"/>
        <v/>
      </c>
      <c r="V32" s="8" t="str">
        <f t="shared" si="2"/>
        <v/>
      </c>
      <c r="W32" s="8" t="str">
        <f t="shared" si="3"/>
        <v/>
      </c>
      <c r="X32" s="8"/>
      <c r="Y32" s="8"/>
      <c r="Z32" s="8"/>
    </row>
    <row r="33" spans="1:26">
      <c r="A33" s="8"/>
      <c r="B33" s="8"/>
      <c r="C33" s="8"/>
      <c r="D33" s="8"/>
      <c r="E33" s="8"/>
      <c r="F33" s="8" t="str">
        <f t="shared" si="0"/>
        <v/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 t="str">
        <f t="shared" si="1"/>
        <v/>
      </c>
      <c r="V33" s="8" t="str">
        <f t="shared" si="2"/>
        <v/>
      </c>
      <c r="W33" s="8" t="str">
        <f t="shared" si="3"/>
        <v/>
      </c>
      <c r="X33" s="8"/>
      <c r="Y33" s="8"/>
      <c r="Z33" s="8"/>
    </row>
    <row r="34" spans="1:26">
      <c r="A34" s="8"/>
      <c r="B34" s="8"/>
      <c r="C34" s="8"/>
      <c r="D34" s="8"/>
      <c r="E34" s="8"/>
      <c r="F34" s="8" t="str">
        <f t="shared" si="0"/>
        <v/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 t="str">
        <f t="shared" si="1"/>
        <v/>
      </c>
      <c r="V34" s="8" t="str">
        <f t="shared" si="2"/>
        <v/>
      </c>
      <c r="W34" s="8" t="str">
        <f t="shared" si="3"/>
        <v/>
      </c>
      <c r="X34" s="8"/>
      <c r="Y34" s="8"/>
      <c r="Z34" s="8"/>
    </row>
    <row r="35" spans="1:26">
      <c r="A35" s="8"/>
      <c r="B35" s="8"/>
      <c r="C35" s="8"/>
      <c r="D35" s="8"/>
      <c r="E35" s="8"/>
      <c r="F35" s="8" t="str">
        <f t="shared" si="0"/>
        <v/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 t="str">
        <f t="shared" si="1"/>
        <v/>
      </c>
      <c r="V35" s="8" t="str">
        <f t="shared" si="2"/>
        <v/>
      </c>
      <c r="W35" s="8" t="str">
        <f t="shared" si="3"/>
        <v/>
      </c>
      <c r="X35" s="8"/>
      <c r="Y35" s="8"/>
      <c r="Z35" s="8"/>
    </row>
    <row r="36" spans="1:26">
      <c r="A36" s="8"/>
      <c r="B36" s="8"/>
      <c r="C36" s="8"/>
      <c r="D36" s="8"/>
      <c r="E36" s="8"/>
      <c r="F36" s="8" t="str">
        <f t="shared" si="0"/>
        <v/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 t="str">
        <f t="shared" si="1"/>
        <v/>
      </c>
      <c r="V36" s="8" t="str">
        <f t="shared" si="2"/>
        <v/>
      </c>
      <c r="W36" s="8" t="str">
        <f t="shared" si="3"/>
        <v/>
      </c>
      <c r="X36" s="8"/>
      <c r="Y36" s="8"/>
      <c r="Z36" s="8"/>
    </row>
    <row r="37" spans="1:26">
      <c r="A37" s="8"/>
      <c r="B37" s="8"/>
      <c r="C37" s="8"/>
      <c r="D37" s="8"/>
      <c r="E37" s="8"/>
      <c r="F37" s="8" t="str">
        <f t="shared" si="0"/>
        <v/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 t="str">
        <f t="shared" si="1"/>
        <v/>
      </c>
      <c r="V37" s="8" t="str">
        <f t="shared" si="2"/>
        <v/>
      </c>
      <c r="W37" s="8" t="str">
        <f t="shared" si="3"/>
        <v/>
      </c>
      <c r="X37" s="8"/>
      <c r="Y37" s="8"/>
      <c r="Z37" s="8"/>
    </row>
    <row r="38" spans="1:26">
      <c r="A38" s="8"/>
      <c r="B38" s="8"/>
      <c r="C38" s="8"/>
      <c r="D38" s="8"/>
      <c r="E38" s="8"/>
      <c r="F38" s="8" t="str">
        <f t="shared" si="0"/>
        <v/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 t="str">
        <f t="shared" si="1"/>
        <v/>
      </c>
      <c r="V38" s="8" t="str">
        <f t="shared" si="2"/>
        <v/>
      </c>
      <c r="W38" s="8" t="str">
        <f t="shared" si="3"/>
        <v/>
      </c>
      <c r="X38" s="8"/>
      <c r="Y38" s="8"/>
      <c r="Z38" s="8"/>
    </row>
    <row r="39" spans="1:26">
      <c r="A39" s="8"/>
      <c r="B39" s="8"/>
      <c r="C39" s="8"/>
      <c r="D39" s="8"/>
      <c r="E39" s="8"/>
      <c r="F39" s="8" t="str">
        <f t="shared" si="0"/>
        <v/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 t="str">
        <f t="shared" si="1"/>
        <v/>
      </c>
      <c r="V39" s="8" t="str">
        <f t="shared" si="2"/>
        <v/>
      </c>
      <c r="W39" s="8" t="str">
        <f t="shared" si="3"/>
        <v/>
      </c>
      <c r="X39" s="8"/>
      <c r="Y39" s="8"/>
      <c r="Z39" s="8"/>
    </row>
    <row r="40" spans="1:26">
      <c r="A40" s="8"/>
      <c r="B40" s="8"/>
      <c r="C40" s="8"/>
      <c r="D40" s="8"/>
      <c r="E40" s="8"/>
      <c r="F40" s="8" t="str">
        <f t="shared" si="0"/>
        <v/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 t="str">
        <f t="shared" si="1"/>
        <v/>
      </c>
      <c r="V40" s="8" t="str">
        <f t="shared" si="2"/>
        <v/>
      </c>
      <c r="W40" s="8" t="str">
        <f t="shared" si="3"/>
        <v/>
      </c>
      <c r="X40" s="8"/>
      <c r="Y40" s="8"/>
      <c r="Z40" s="8"/>
    </row>
    <row r="41" spans="1:26">
      <c r="A41" s="8"/>
      <c r="B41" s="8"/>
      <c r="C41" s="8"/>
      <c r="D41" s="8"/>
      <c r="E41" s="8"/>
      <c r="F41" s="8" t="str">
        <f t="shared" si="0"/>
        <v/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 t="str">
        <f t="shared" si="1"/>
        <v/>
      </c>
      <c r="V41" s="8" t="str">
        <f t="shared" si="2"/>
        <v/>
      </c>
      <c r="W41" s="8" t="str">
        <f t="shared" si="3"/>
        <v/>
      </c>
      <c r="X41" s="8"/>
      <c r="Y41" s="8"/>
      <c r="Z41" s="8"/>
    </row>
    <row r="42" spans="1:26">
      <c r="A42" s="8"/>
      <c r="B42" s="8"/>
      <c r="C42" s="8"/>
      <c r="D42" s="8"/>
      <c r="E42" s="8"/>
      <c r="F42" s="8" t="str">
        <f t="shared" si="0"/>
        <v/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 t="str">
        <f t="shared" si="1"/>
        <v/>
      </c>
      <c r="V42" s="8" t="str">
        <f t="shared" si="2"/>
        <v/>
      </c>
      <c r="W42" s="8" t="str">
        <f t="shared" si="3"/>
        <v/>
      </c>
      <c r="X42" s="8"/>
      <c r="Y42" s="8"/>
      <c r="Z42" s="8"/>
    </row>
    <row r="43" spans="1:26">
      <c r="A43" s="8"/>
      <c r="B43" s="8"/>
      <c r="C43" s="8"/>
      <c r="D43" s="8"/>
      <c r="E43" s="8"/>
      <c r="F43" s="8" t="str">
        <f t="shared" si="0"/>
        <v/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 t="str">
        <f t="shared" si="1"/>
        <v/>
      </c>
      <c r="V43" s="8" t="str">
        <f t="shared" si="2"/>
        <v/>
      </c>
      <c r="W43" s="8" t="str">
        <f t="shared" si="3"/>
        <v/>
      </c>
      <c r="X43" s="8"/>
      <c r="Y43" s="8"/>
      <c r="Z43" s="8"/>
    </row>
    <row r="44" spans="1:26">
      <c r="A44" s="8"/>
      <c r="B44" s="8"/>
      <c r="C44" s="8"/>
      <c r="D44" s="8"/>
      <c r="E44" s="8"/>
      <c r="F44" s="8" t="str">
        <f t="shared" si="0"/>
        <v/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 t="str">
        <f t="shared" si="1"/>
        <v/>
      </c>
      <c r="V44" s="8" t="str">
        <f t="shared" si="2"/>
        <v/>
      </c>
      <c r="W44" s="8" t="str">
        <f t="shared" si="3"/>
        <v/>
      </c>
      <c r="X44" s="8"/>
      <c r="Y44" s="8"/>
      <c r="Z44" s="8"/>
    </row>
    <row r="45" spans="1:26">
      <c r="A45" s="8"/>
      <c r="B45" s="8"/>
      <c r="C45" s="8"/>
      <c r="D45" s="8"/>
      <c r="E45" s="8"/>
      <c r="F45" s="8" t="str">
        <f t="shared" si="0"/>
        <v/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 t="str">
        <f t="shared" si="1"/>
        <v/>
      </c>
      <c r="V45" s="8" t="str">
        <f t="shared" si="2"/>
        <v/>
      </c>
      <c r="W45" s="8" t="str">
        <f t="shared" si="3"/>
        <v/>
      </c>
      <c r="X45" s="8"/>
      <c r="Y45" s="8"/>
      <c r="Z45" s="8"/>
    </row>
    <row r="46" spans="1:26">
      <c r="A46" s="8"/>
      <c r="B46" s="8"/>
      <c r="C46" s="8"/>
      <c r="D46" s="8"/>
      <c r="E46" s="8"/>
      <c r="F46" s="8" t="str">
        <f t="shared" si="0"/>
        <v/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 t="str">
        <f t="shared" si="1"/>
        <v/>
      </c>
      <c r="V46" s="8" t="str">
        <f t="shared" si="2"/>
        <v/>
      </c>
      <c r="W46" s="8" t="str">
        <f t="shared" si="3"/>
        <v/>
      </c>
      <c r="X46" s="8"/>
      <c r="Y46" s="8"/>
      <c r="Z46" s="8"/>
    </row>
    <row r="47" spans="1:26">
      <c r="A47" s="8"/>
      <c r="B47" s="8"/>
      <c r="C47" s="8"/>
      <c r="D47" s="8"/>
      <c r="E47" s="8"/>
      <c r="F47" s="8" t="str">
        <f t="shared" si="0"/>
        <v/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 t="str">
        <f t="shared" si="1"/>
        <v/>
      </c>
      <c r="V47" s="8" t="str">
        <f t="shared" si="2"/>
        <v/>
      </c>
      <c r="W47" s="8" t="str">
        <f t="shared" si="3"/>
        <v/>
      </c>
      <c r="X47" s="8"/>
      <c r="Y47" s="8"/>
      <c r="Z47" s="8"/>
    </row>
    <row r="48" spans="1:26">
      <c r="A48" s="8"/>
      <c r="B48" s="8"/>
      <c r="C48" s="8"/>
      <c r="D48" s="8"/>
      <c r="E48" s="8"/>
      <c r="F48" s="8" t="str">
        <f t="shared" si="0"/>
        <v/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str">
        <f t="shared" si="1"/>
        <v/>
      </c>
      <c r="V48" s="8" t="str">
        <f t="shared" si="2"/>
        <v/>
      </c>
      <c r="W48" s="8" t="str">
        <f t="shared" si="3"/>
        <v/>
      </c>
      <c r="X48" s="8"/>
      <c r="Y48" s="8"/>
      <c r="Z48" s="8"/>
    </row>
    <row r="49" spans="1:26">
      <c r="A49" s="8"/>
      <c r="B49" s="8"/>
      <c r="C49" s="8"/>
      <c r="D49" s="8"/>
      <c r="E49" s="8"/>
      <c r="F49" s="8" t="str">
        <f t="shared" si="0"/>
        <v/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 t="str">
        <f t="shared" si="1"/>
        <v/>
      </c>
      <c r="V49" s="8" t="str">
        <f t="shared" si="2"/>
        <v/>
      </c>
      <c r="W49" s="8" t="str">
        <f t="shared" si="3"/>
        <v/>
      </c>
      <c r="X49" s="8"/>
      <c r="Y49" s="8"/>
      <c r="Z49" s="8"/>
    </row>
    <row r="50" spans="1:26">
      <c r="A50" s="8"/>
      <c r="B50" s="8"/>
      <c r="C50" s="8"/>
      <c r="D50" s="8"/>
      <c r="E50" s="8"/>
      <c r="F50" s="8" t="str">
        <f t="shared" si="0"/>
        <v/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str">
        <f t="shared" si="1"/>
        <v/>
      </c>
      <c r="V50" s="8" t="str">
        <f t="shared" si="2"/>
        <v/>
      </c>
      <c r="W50" s="8" t="str">
        <f t="shared" si="3"/>
        <v/>
      </c>
      <c r="X50" s="8"/>
      <c r="Y50" s="8"/>
      <c r="Z50" s="8"/>
    </row>
    <row r="51" spans="1:26">
      <c r="A51" s="8"/>
      <c r="B51" s="8"/>
      <c r="C51" s="8"/>
      <c r="D51" s="8"/>
      <c r="E51" s="8"/>
      <c r="F51" s="8" t="str">
        <f t="shared" si="0"/>
        <v/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 t="str">
        <f t="shared" si="1"/>
        <v/>
      </c>
      <c r="V51" s="8" t="str">
        <f t="shared" si="2"/>
        <v/>
      </c>
      <c r="W51" s="8" t="str">
        <f t="shared" si="3"/>
        <v/>
      </c>
      <c r="X51" s="8"/>
      <c r="Y51" s="8"/>
      <c r="Z51" s="8"/>
    </row>
    <row r="52" spans="1:26">
      <c r="A52" s="8"/>
      <c r="B52" s="8"/>
      <c r="C52" s="8"/>
      <c r="D52" s="8"/>
      <c r="E52" s="8"/>
      <c r="F52" s="8" t="str">
        <f t="shared" si="0"/>
        <v/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str">
        <f t="shared" si="1"/>
        <v/>
      </c>
      <c r="V52" s="8" t="str">
        <f t="shared" si="2"/>
        <v/>
      </c>
      <c r="W52" s="8" t="str">
        <f t="shared" si="3"/>
        <v/>
      </c>
      <c r="X52" s="8"/>
      <c r="Y52" s="8"/>
      <c r="Z52" s="8"/>
    </row>
    <row r="53" spans="1:26">
      <c r="A53" s="8"/>
      <c r="B53" s="8"/>
      <c r="C53" s="8"/>
      <c r="D53" s="8"/>
      <c r="E53" s="8"/>
      <c r="F53" s="8" t="str">
        <f t="shared" si="0"/>
        <v/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 t="str">
        <f t="shared" si="1"/>
        <v/>
      </c>
      <c r="V53" s="8" t="str">
        <f t="shared" si="2"/>
        <v/>
      </c>
      <c r="W53" s="8" t="str">
        <f t="shared" si="3"/>
        <v/>
      </c>
      <c r="X53" s="8"/>
      <c r="Y53" s="8"/>
      <c r="Z53" s="8"/>
    </row>
    <row r="54" spans="1:26">
      <c r="A54" s="8"/>
      <c r="B54" s="8"/>
      <c r="C54" s="8"/>
      <c r="D54" s="8"/>
      <c r="E54" s="8"/>
      <c r="F54" s="8" t="str">
        <f t="shared" si="0"/>
        <v/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 t="str">
        <f t="shared" si="1"/>
        <v/>
      </c>
      <c r="V54" s="8" t="str">
        <f t="shared" si="2"/>
        <v/>
      </c>
      <c r="W54" s="8" t="str">
        <f t="shared" si="3"/>
        <v/>
      </c>
      <c r="X54" s="8"/>
      <c r="Y54" s="8"/>
      <c r="Z54" s="8"/>
    </row>
    <row r="55" spans="1:26">
      <c r="A55" s="8"/>
      <c r="B55" s="8"/>
      <c r="C55" s="8"/>
      <c r="D55" s="8"/>
      <c r="E55" s="8"/>
      <c r="F55" s="8" t="str">
        <f t="shared" si="0"/>
        <v/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 t="str">
        <f t="shared" si="1"/>
        <v/>
      </c>
      <c r="V55" s="8" t="str">
        <f t="shared" si="2"/>
        <v/>
      </c>
      <c r="W55" s="8" t="str">
        <f t="shared" si="3"/>
        <v/>
      </c>
      <c r="X55" s="8"/>
      <c r="Y55" s="8"/>
      <c r="Z55" s="8"/>
    </row>
    <row r="56" spans="1:26">
      <c r="A56" s="8"/>
      <c r="B56" s="8"/>
      <c r="C56" s="8"/>
      <c r="D56" s="8"/>
      <c r="E56" s="8"/>
      <c r="F56" s="8" t="str">
        <f t="shared" si="0"/>
        <v/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 t="str">
        <f t="shared" si="1"/>
        <v/>
      </c>
      <c r="V56" s="8" t="str">
        <f t="shared" si="2"/>
        <v/>
      </c>
      <c r="W56" s="8" t="str">
        <f t="shared" si="3"/>
        <v/>
      </c>
      <c r="X56" s="8"/>
      <c r="Y56" s="8"/>
      <c r="Z56" s="8"/>
    </row>
    <row r="57" spans="1:26">
      <c r="A57" s="8"/>
      <c r="B57" s="8"/>
      <c r="C57" s="8"/>
      <c r="D57" s="8"/>
      <c r="E57" s="8"/>
      <c r="F57" s="8" t="str">
        <f t="shared" si="0"/>
        <v/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 t="str">
        <f t="shared" si="1"/>
        <v/>
      </c>
      <c r="V57" s="8" t="str">
        <f t="shared" si="2"/>
        <v/>
      </c>
      <c r="W57" s="8" t="str">
        <f t="shared" si="3"/>
        <v/>
      </c>
      <c r="X57" s="8"/>
      <c r="Y57" s="8"/>
      <c r="Z57" s="8"/>
    </row>
    <row r="58" spans="1:26">
      <c r="A58" s="8"/>
      <c r="B58" s="8"/>
      <c r="C58" s="8"/>
      <c r="D58" s="8"/>
      <c r="E58" s="8"/>
      <c r="F58" s="8" t="str">
        <f t="shared" si="0"/>
        <v/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 t="str">
        <f t="shared" si="1"/>
        <v/>
      </c>
      <c r="V58" s="8" t="str">
        <f t="shared" si="2"/>
        <v/>
      </c>
      <c r="W58" s="8" t="str">
        <f t="shared" si="3"/>
        <v/>
      </c>
      <c r="X58" s="8"/>
      <c r="Y58" s="8"/>
      <c r="Z58" s="8"/>
    </row>
    <row r="59" spans="1:26">
      <c r="A59" s="8"/>
      <c r="B59" s="8"/>
      <c r="C59" s="8"/>
      <c r="D59" s="8"/>
      <c r="E59" s="8"/>
      <c r="F59" s="8" t="str">
        <f t="shared" si="0"/>
        <v/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 t="str">
        <f t="shared" si="1"/>
        <v/>
      </c>
      <c r="V59" s="8" t="str">
        <f t="shared" si="2"/>
        <v/>
      </c>
      <c r="W59" s="8" t="str">
        <f t="shared" si="3"/>
        <v/>
      </c>
      <c r="X59" s="8"/>
      <c r="Y59" s="8"/>
      <c r="Z59" s="8"/>
    </row>
    <row r="60" spans="1:26">
      <c r="A60" s="8"/>
      <c r="B60" s="8"/>
      <c r="C60" s="8"/>
      <c r="D60" s="8"/>
      <c r="E60" s="8"/>
      <c r="F60" s="8" t="str">
        <f t="shared" si="0"/>
        <v/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 t="str">
        <f t="shared" si="1"/>
        <v/>
      </c>
      <c r="V60" s="8" t="str">
        <f t="shared" si="2"/>
        <v/>
      </c>
      <c r="W60" s="8" t="str">
        <f t="shared" si="3"/>
        <v/>
      </c>
      <c r="X60" s="8"/>
      <c r="Y60" s="8"/>
      <c r="Z60" s="8"/>
    </row>
    <row r="61" spans="1:26">
      <c r="F61" t="str">
        <f t="shared" si="0"/>
        <v/>
      </c>
      <c r="U61" t="str">
        <f t="shared" si="1"/>
        <v/>
      </c>
      <c r="V61" t="str">
        <f t="shared" si="2"/>
        <v/>
      </c>
      <c r="W61" t="str">
        <f t="shared" si="3"/>
        <v/>
      </c>
    </row>
    <row r="62" spans="1:26">
      <c r="F62" t="str">
        <f t="shared" si="0"/>
        <v/>
      </c>
      <c r="U62" t="str">
        <f t="shared" si="1"/>
        <v/>
      </c>
      <c r="V62" t="str">
        <f t="shared" si="2"/>
        <v/>
      </c>
      <c r="W62" t="str">
        <f t="shared" si="3"/>
        <v/>
      </c>
    </row>
    <row r="63" spans="1:26">
      <c r="F63" t="str">
        <f t="shared" si="0"/>
        <v/>
      </c>
      <c r="U63" t="str">
        <f t="shared" si="1"/>
        <v/>
      </c>
      <c r="V63" t="str">
        <f t="shared" si="2"/>
        <v/>
      </c>
      <c r="W63" t="str">
        <f t="shared" si="3"/>
        <v/>
      </c>
    </row>
    <row r="64" spans="1:26">
      <c r="F64" t="str">
        <f t="shared" si="0"/>
        <v/>
      </c>
      <c r="U64" t="str">
        <f t="shared" si="1"/>
        <v/>
      </c>
      <c r="V64" t="str">
        <f t="shared" si="2"/>
        <v/>
      </c>
      <c r="W64" t="str">
        <f t="shared" si="3"/>
        <v/>
      </c>
    </row>
    <row r="65" spans="6:23">
      <c r="F65" t="str">
        <f t="shared" si="0"/>
        <v/>
      </c>
      <c r="U65" t="str">
        <f t="shared" si="1"/>
        <v/>
      </c>
      <c r="V65" t="str">
        <f t="shared" si="2"/>
        <v/>
      </c>
      <c r="W65" t="str">
        <f t="shared" si="3"/>
        <v/>
      </c>
    </row>
    <row r="66" spans="6:23">
      <c r="F66" t="str">
        <f t="shared" ref="F66:F129" si="4">IF(E66="","",INT(E66/10)*10&amp;"s")</f>
        <v/>
      </c>
      <c r="U66" t="str">
        <f t="shared" ref="U66:U129" si="5">IF(B66="","",TEXT(B66,"yyyy-mm"))</f>
        <v/>
      </c>
      <c r="V66" t="str">
        <f t="shared" ref="V66:V129" si="6">IF(B66="","",YEAR(B66))</f>
        <v/>
      </c>
      <c r="W66" t="str">
        <f t="shared" ref="W66:W129" si="7">IF(B66="","",WEEKNUM(B66,2))</f>
        <v/>
      </c>
    </row>
    <row r="67" spans="6:23">
      <c r="F67" t="str">
        <f t="shared" si="4"/>
        <v/>
      </c>
      <c r="U67" t="str">
        <f t="shared" si="5"/>
        <v/>
      </c>
      <c r="V67" t="str">
        <f t="shared" si="6"/>
        <v/>
      </c>
      <c r="W67" t="str">
        <f t="shared" si="7"/>
        <v/>
      </c>
    </row>
    <row r="68" spans="6:23">
      <c r="F68" t="str">
        <f t="shared" si="4"/>
        <v/>
      </c>
      <c r="U68" t="str">
        <f t="shared" si="5"/>
        <v/>
      </c>
      <c r="V68" t="str">
        <f t="shared" si="6"/>
        <v/>
      </c>
      <c r="W68" t="str">
        <f t="shared" si="7"/>
        <v/>
      </c>
    </row>
    <row r="69" spans="6:23">
      <c r="F69" t="str">
        <f t="shared" si="4"/>
        <v/>
      </c>
      <c r="U69" t="str">
        <f t="shared" si="5"/>
        <v/>
      </c>
      <c r="V69" t="str">
        <f t="shared" si="6"/>
        <v/>
      </c>
      <c r="W69" t="str">
        <f t="shared" si="7"/>
        <v/>
      </c>
    </row>
    <row r="70" spans="6:23">
      <c r="F70" t="str">
        <f t="shared" si="4"/>
        <v/>
      </c>
      <c r="U70" t="str">
        <f t="shared" si="5"/>
        <v/>
      </c>
      <c r="V70" t="str">
        <f t="shared" si="6"/>
        <v/>
      </c>
      <c r="W70" t="str">
        <f t="shared" si="7"/>
        <v/>
      </c>
    </row>
    <row r="71" spans="6:23">
      <c r="F71" t="str">
        <f t="shared" si="4"/>
        <v/>
      </c>
      <c r="U71" t="str">
        <f t="shared" si="5"/>
        <v/>
      </c>
      <c r="V71" t="str">
        <f t="shared" si="6"/>
        <v/>
      </c>
      <c r="W71" t="str">
        <f t="shared" si="7"/>
        <v/>
      </c>
    </row>
    <row r="72" spans="6:23">
      <c r="F72" t="str">
        <f t="shared" si="4"/>
        <v/>
      </c>
      <c r="U72" t="str">
        <f t="shared" si="5"/>
        <v/>
      </c>
      <c r="V72" t="str">
        <f t="shared" si="6"/>
        <v/>
      </c>
      <c r="W72" t="str">
        <f t="shared" si="7"/>
        <v/>
      </c>
    </row>
    <row r="73" spans="6:23">
      <c r="F73" t="str">
        <f t="shared" si="4"/>
        <v/>
      </c>
      <c r="U73" t="str">
        <f t="shared" si="5"/>
        <v/>
      </c>
      <c r="V73" t="str">
        <f t="shared" si="6"/>
        <v/>
      </c>
      <c r="W73" t="str">
        <f t="shared" si="7"/>
        <v/>
      </c>
    </row>
    <row r="74" spans="6:23">
      <c r="F74" t="str">
        <f t="shared" si="4"/>
        <v/>
      </c>
      <c r="U74" t="str">
        <f t="shared" si="5"/>
        <v/>
      </c>
      <c r="V74" t="str">
        <f t="shared" si="6"/>
        <v/>
      </c>
      <c r="W74" t="str">
        <f t="shared" si="7"/>
        <v/>
      </c>
    </row>
    <row r="75" spans="6:23">
      <c r="F75" t="str">
        <f t="shared" si="4"/>
        <v/>
      </c>
      <c r="U75" t="str">
        <f t="shared" si="5"/>
        <v/>
      </c>
      <c r="V75" t="str">
        <f t="shared" si="6"/>
        <v/>
      </c>
      <c r="W75" t="str">
        <f t="shared" si="7"/>
        <v/>
      </c>
    </row>
    <row r="76" spans="6:23">
      <c r="F76" t="str">
        <f t="shared" si="4"/>
        <v/>
      </c>
      <c r="U76" t="str">
        <f t="shared" si="5"/>
        <v/>
      </c>
      <c r="V76" t="str">
        <f t="shared" si="6"/>
        <v/>
      </c>
      <c r="W76" t="str">
        <f t="shared" si="7"/>
        <v/>
      </c>
    </row>
    <row r="77" spans="6:23">
      <c r="F77" t="str">
        <f t="shared" si="4"/>
        <v/>
      </c>
      <c r="U77" t="str">
        <f t="shared" si="5"/>
        <v/>
      </c>
      <c r="V77" t="str">
        <f t="shared" si="6"/>
        <v/>
      </c>
      <c r="W77" t="str">
        <f t="shared" si="7"/>
        <v/>
      </c>
    </row>
    <row r="78" spans="6:23">
      <c r="F78" t="str">
        <f t="shared" si="4"/>
        <v/>
      </c>
      <c r="U78" t="str">
        <f t="shared" si="5"/>
        <v/>
      </c>
      <c r="V78" t="str">
        <f t="shared" si="6"/>
        <v/>
      </c>
      <c r="W78" t="str">
        <f t="shared" si="7"/>
        <v/>
      </c>
    </row>
    <row r="79" spans="6:23">
      <c r="F79" t="str">
        <f t="shared" si="4"/>
        <v/>
      </c>
      <c r="U79" t="str">
        <f t="shared" si="5"/>
        <v/>
      </c>
      <c r="V79" t="str">
        <f t="shared" si="6"/>
        <v/>
      </c>
      <c r="W79" t="str">
        <f t="shared" si="7"/>
        <v/>
      </c>
    </row>
    <row r="80" spans="6:23">
      <c r="F80" t="str">
        <f t="shared" si="4"/>
        <v/>
      </c>
      <c r="U80" t="str">
        <f t="shared" si="5"/>
        <v/>
      </c>
      <c r="V80" t="str">
        <f t="shared" si="6"/>
        <v/>
      </c>
      <c r="W80" t="str">
        <f t="shared" si="7"/>
        <v/>
      </c>
    </row>
    <row r="81" spans="6:23">
      <c r="F81" t="str">
        <f t="shared" si="4"/>
        <v/>
      </c>
      <c r="U81" t="str">
        <f t="shared" si="5"/>
        <v/>
      </c>
      <c r="V81" t="str">
        <f t="shared" si="6"/>
        <v/>
      </c>
      <c r="W81" t="str">
        <f t="shared" si="7"/>
        <v/>
      </c>
    </row>
    <row r="82" spans="6:23">
      <c r="F82" t="str">
        <f t="shared" si="4"/>
        <v/>
      </c>
      <c r="U82" t="str">
        <f t="shared" si="5"/>
        <v/>
      </c>
      <c r="V82" t="str">
        <f t="shared" si="6"/>
        <v/>
      </c>
      <c r="W82" t="str">
        <f t="shared" si="7"/>
        <v/>
      </c>
    </row>
    <row r="83" spans="6:23">
      <c r="F83" t="str">
        <f t="shared" si="4"/>
        <v/>
      </c>
      <c r="U83" t="str">
        <f t="shared" si="5"/>
        <v/>
      </c>
      <c r="V83" t="str">
        <f t="shared" si="6"/>
        <v/>
      </c>
      <c r="W83" t="str">
        <f t="shared" si="7"/>
        <v/>
      </c>
    </row>
    <row r="84" spans="6:23">
      <c r="F84" t="str">
        <f t="shared" si="4"/>
        <v/>
      </c>
      <c r="U84" t="str">
        <f t="shared" si="5"/>
        <v/>
      </c>
      <c r="V84" t="str">
        <f t="shared" si="6"/>
        <v/>
      </c>
      <c r="W84" t="str">
        <f t="shared" si="7"/>
        <v/>
      </c>
    </row>
    <row r="85" spans="6:23">
      <c r="F85" t="str">
        <f t="shared" si="4"/>
        <v/>
      </c>
      <c r="U85" t="str">
        <f t="shared" si="5"/>
        <v/>
      </c>
      <c r="V85" t="str">
        <f t="shared" si="6"/>
        <v/>
      </c>
      <c r="W85" t="str">
        <f t="shared" si="7"/>
        <v/>
      </c>
    </row>
    <row r="86" spans="6:23">
      <c r="F86" t="str">
        <f t="shared" si="4"/>
        <v/>
      </c>
      <c r="U86" t="str">
        <f t="shared" si="5"/>
        <v/>
      </c>
      <c r="V86" t="str">
        <f t="shared" si="6"/>
        <v/>
      </c>
      <c r="W86" t="str">
        <f t="shared" si="7"/>
        <v/>
      </c>
    </row>
    <row r="87" spans="6:23">
      <c r="F87" t="str">
        <f t="shared" si="4"/>
        <v/>
      </c>
      <c r="U87" t="str">
        <f t="shared" si="5"/>
        <v/>
      </c>
      <c r="V87" t="str">
        <f t="shared" si="6"/>
        <v/>
      </c>
      <c r="W87" t="str">
        <f t="shared" si="7"/>
        <v/>
      </c>
    </row>
    <row r="88" spans="6:23">
      <c r="F88" t="str">
        <f t="shared" si="4"/>
        <v/>
      </c>
      <c r="U88" t="str">
        <f t="shared" si="5"/>
        <v/>
      </c>
      <c r="V88" t="str">
        <f t="shared" si="6"/>
        <v/>
      </c>
      <c r="W88" t="str">
        <f t="shared" si="7"/>
        <v/>
      </c>
    </row>
    <row r="89" spans="6:23">
      <c r="F89" t="str">
        <f t="shared" si="4"/>
        <v/>
      </c>
      <c r="U89" t="str">
        <f t="shared" si="5"/>
        <v/>
      </c>
      <c r="V89" t="str">
        <f t="shared" si="6"/>
        <v/>
      </c>
      <c r="W89" t="str">
        <f t="shared" si="7"/>
        <v/>
      </c>
    </row>
    <row r="90" spans="6:23">
      <c r="F90" t="str">
        <f t="shared" si="4"/>
        <v/>
      </c>
      <c r="U90" t="str">
        <f t="shared" si="5"/>
        <v/>
      </c>
      <c r="V90" t="str">
        <f t="shared" si="6"/>
        <v/>
      </c>
      <c r="W90" t="str">
        <f t="shared" si="7"/>
        <v/>
      </c>
    </row>
    <row r="91" spans="6:23">
      <c r="F91" t="str">
        <f t="shared" si="4"/>
        <v/>
      </c>
      <c r="U91" t="str">
        <f t="shared" si="5"/>
        <v/>
      </c>
      <c r="V91" t="str">
        <f t="shared" si="6"/>
        <v/>
      </c>
      <c r="W91" t="str">
        <f t="shared" si="7"/>
        <v/>
      </c>
    </row>
    <row r="92" spans="6:23">
      <c r="F92" t="str">
        <f t="shared" si="4"/>
        <v/>
      </c>
      <c r="U92" t="str">
        <f t="shared" si="5"/>
        <v/>
      </c>
      <c r="V92" t="str">
        <f t="shared" si="6"/>
        <v/>
      </c>
      <c r="W92" t="str">
        <f t="shared" si="7"/>
        <v/>
      </c>
    </row>
    <row r="93" spans="6:23">
      <c r="F93" t="str">
        <f t="shared" si="4"/>
        <v/>
      </c>
      <c r="U93" t="str">
        <f t="shared" si="5"/>
        <v/>
      </c>
      <c r="V93" t="str">
        <f t="shared" si="6"/>
        <v/>
      </c>
      <c r="W93" t="str">
        <f t="shared" si="7"/>
        <v/>
      </c>
    </row>
    <row r="94" spans="6:23">
      <c r="F94" t="str">
        <f t="shared" si="4"/>
        <v/>
      </c>
      <c r="U94" t="str">
        <f t="shared" si="5"/>
        <v/>
      </c>
      <c r="V94" t="str">
        <f t="shared" si="6"/>
        <v/>
      </c>
      <c r="W94" t="str">
        <f t="shared" si="7"/>
        <v/>
      </c>
    </row>
    <row r="95" spans="6:23">
      <c r="F95" t="str">
        <f t="shared" si="4"/>
        <v/>
      </c>
      <c r="U95" t="str">
        <f t="shared" si="5"/>
        <v/>
      </c>
      <c r="V95" t="str">
        <f t="shared" si="6"/>
        <v/>
      </c>
      <c r="W95" t="str">
        <f t="shared" si="7"/>
        <v/>
      </c>
    </row>
    <row r="96" spans="6:23">
      <c r="F96" t="str">
        <f t="shared" si="4"/>
        <v/>
      </c>
      <c r="U96" t="str">
        <f t="shared" si="5"/>
        <v/>
      </c>
      <c r="V96" t="str">
        <f t="shared" si="6"/>
        <v/>
      </c>
      <c r="W96" t="str">
        <f t="shared" si="7"/>
        <v/>
      </c>
    </row>
    <row r="97" spans="6:23">
      <c r="F97" t="str">
        <f t="shared" si="4"/>
        <v/>
      </c>
      <c r="U97" t="str">
        <f t="shared" si="5"/>
        <v/>
      </c>
      <c r="V97" t="str">
        <f t="shared" si="6"/>
        <v/>
      </c>
      <c r="W97" t="str">
        <f t="shared" si="7"/>
        <v/>
      </c>
    </row>
    <row r="98" spans="6:23">
      <c r="F98" t="str">
        <f t="shared" si="4"/>
        <v/>
      </c>
      <c r="U98" t="str">
        <f t="shared" si="5"/>
        <v/>
      </c>
      <c r="V98" t="str">
        <f t="shared" si="6"/>
        <v/>
      </c>
      <c r="W98" t="str">
        <f t="shared" si="7"/>
        <v/>
      </c>
    </row>
    <row r="99" spans="6:23">
      <c r="F99" t="str">
        <f t="shared" si="4"/>
        <v/>
      </c>
      <c r="U99" t="str">
        <f t="shared" si="5"/>
        <v/>
      </c>
      <c r="V99" t="str">
        <f t="shared" si="6"/>
        <v/>
      </c>
      <c r="W99" t="str">
        <f t="shared" si="7"/>
        <v/>
      </c>
    </row>
    <row r="100" spans="6:23">
      <c r="F100" t="str">
        <f t="shared" si="4"/>
        <v/>
      </c>
      <c r="U100" t="str">
        <f t="shared" si="5"/>
        <v/>
      </c>
      <c r="V100" t="str">
        <f t="shared" si="6"/>
        <v/>
      </c>
      <c r="W100" t="str">
        <f t="shared" si="7"/>
        <v/>
      </c>
    </row>
    <row r="101" spans="6:23">
      <c r="F101" t="str">
        <f t="shared" si="4"/>
        <v/>
      </c>
      <c r="U101" t="str">
        <f t="shared" si="5"/>
        <v/>
      </c>
      <c r="V101" t="str">
        <f t="shared" si="6"/>
        <v/>
      </c>
      <c r="W101" t="str">
        <f t="shared" si="7"/>
        <v/>
      </c>
    </row>
    <row r="102" spans="6:23">
      <c r="F102" t="str">
        <f t="shared" si="4"/>
        <v/>
      </c>
      <c r="U102" t="str">
        <f t="shared" si="5"/>
        <v/>
      </c>
      <c r="V102" t="str">
        <f t="shared" si="6"/>
        <v/>
      </c>
      <c r="W102" t="str">
        <f t="shared" si="7"/>
        <v/>
      </c>
    </row>
    <row r="103" spans="6:23">
      <c r="F103" t="str">
        <f t="shared" si="4"/>
        <v/>
      </c>
      <c r="U103" t="str">
        <f t="shared" si="5"/>
        <v/>
      </c>
      <c r="V103" t="str">
        <f t="shared" si="6"/>
        <v/>
      </c>
      <c r="W103" t="str">
        <f t="shared" si="7"/>
        <v/>
      </c>
    </row>
    <row r="104" spans="6:23">
      <c r="F104" t="str">
        <f t="shared" si="4"/>
        <v/>
      </c>
      <c r="U104" t="str">
        <f t="shared" si="5"/>
        <v/>
      </c>
      <c r="V104" t="str">
        <f t="shared" si="6"/>
        <v/>
      </c>
      <c r="W104" t="str">
        <f t="shared" si="7"/>
        <v/>
      </c>
    </row>
    <row r="105" spans="6:23">
      <c r="F105" t="str">
        <f t="shared" si="4"/>
        <v/>
      </c>
      <c r="U105" t="str">
        <f t="shared" si="5"/>
        <v/>
      </c>
      <c r="V105" t="str">
        <f t="shared" si="6"/>
        <v/>
      </c>
      <c r="W105" t="str">
        <f t="shared" si="7"/>
        <v/>
      </c>
    </row>
    <row r="106" spans="6:23">
      <c r="F106" t="str">
        <f t="shared" si="4"/>
        <v/>
      </c>
      <c r="U106" t="str">
        <f t="shared" si="5"/>
        <v/>
      </c>
      <c r="V106" t="str">
        <f t="shared" si="6"/>
        <v/>
      </c>
      <c r="W106" t="str">
        <f t="shared" si="7"/>
        <v/>
      </c>
    </row>
    <row r="107" spans="6:23">
      <c r="F107" t="str">
        <f t="shared" si="4"/>
        <v/>
      </c>
      <c r="U107" t="str">
        <f t="shared" si="5"/>
        <v/>
      </c>
      <c r="V107" t="str">
        <f t="shared" si="6"/>
        <v/>
      </c>
      <c r="W107" t="str">
        <f t="shared" si="7"/>
        <v/>
      </c>
    </row>
    <row r="108" spans="6:23">
      <c r="F108" t="str">
        <f t="shared" si="4"/>
        <v/>
      </c>
      <c r="U108" t="str">
        <f t="shared" si="5"/>
        <v/>
      </c>
      <c r="V108" t="str">
        <f t="shared" si="6"/>
        <v/>
      </c>
      <c r="W108" t="str">
        <f t="shared" si="7"/>
        <v/>
      </c>
    </row>
    <row r="109" spans="6:23">
      <c r="F109" t="str">
        <f t="shared" si="4"/>
        <v/>
      </c>
      <c r="U109" t="str">
        <f t="shared" si="5"/>
        <v/>
      </c>
      <c r="V109" t="str">
        <f t="shared" si="6"/>
        <v/>
      </c>
      <c r="W109" t="str">
        <f t="shared" si="7"/>
        <v/>
      </c>
    </row>
    <row r="110" spans="6:23">
      <c r="F110" t="str">
        <f t="shared" si="4"/>
        <v/>
      </c>
      <c r="U110" t="str">
        <f t="shared" si="5"/>
        <v/>
      </c>
      <c r="V110" t="str">
        <f t="shared" si="6"/>
        <v/>
      </c>
      <c r="W110" t="str">
        <f t="shared" si="7"/>
        <v/>
      </c>
    </row>
    <row r="111" spans="6:23">
      <c r="F111" t="str">
        <f t="shared" si="4"/>
        <v/>
      </c>
      <c r="U111" t="str">
        <f t="shared" si="5"/>
        <v/>
      </c>
      <c r="V111" t="str">
        <f t="shared" si="6"/>
        <v/>
      </c>
      <c r="W111" t="str">
        <f t="shared" si="7"/>
        <v/>
      </c>
    </row>
    <row r="112" spans="6:23">
      <c r="F112" t="str">
        <f t="shared" si="4"/>
        <v/>
      </c>
      <c r="U112" t="str">
        <f t="shared" si="5"/>
        <v/>
      </c>
      <c r="V112" t="str">
        <f t="shared" si="6"/>
        <v/>
      </c>
      <c r="W112" t="str">
        <f t="shared" si="7"/>
        <v/>
      </c>
    </row>
    <row r="113" spans="6:23">
      <c r="F113" t="str">
        <f t="shared" si="4"/>
        <v/>
      </c>
      <c r="U113" t="str">
        <f t="shared" si="5"/>
        <v/>
      </c>
      <c r="V113" t="str">
        <f t="shared" si="6"/>
        <v/>
      </c>
      <c r="W113" t="str">
        <f t="shared" si="7"/>
        <v/>
      </c>
    </row>
    <row r="114" spans="6:23">
      <c r="F114" t="str">
        <f t="shared" si="4"/>
        <v/>
      </c>
      <c r="U114" t="str">
        <f t="shared" si="5"/>
        <v/>
      </c>
      <c r="V114" t="str">
        <f t="shared" si="6"/>
        <v/>
      </c>
      <c r="W114" t="str">
        <f t="shared" si="7"/>
        <v/>
      </c>
    </row>
    <row r="115" spans="6:23">
      <c r="F115" t="str">
        <f t="shared" si="4"/>
        <v/>
      </c>
      <c r="U115" t="str">
        <f t="shared" si="5"/>
        <v/>
      </c>
      <c r="V115" t="str">
        <f t="shared" si="6"/>
        <v/>
      </c>
      <c r="W115" t="str">
        <f t="shared" si="7"/>
        <v/>
      </c>
    </row>
    <row r="116" spans="6:23">
      <c r="F116" t="str">
        <f t="shared" si="4"/>
        <v/>
      </c>
      <c r="U116" t="str">
        <f t="shared" si="5"/>
        <v/>
      </c>
      <c r="V116" t="str">
        <f t="shared" si="6"/>
        <v/>
      </c>
      <c r="W116" t="str">
        <f t="shared" si="7"/>
        <v/>
      </c>
    </row>
    <row r="117" spans="6:23">
      <c r="F117" t="str">
        <f t="shared" si="4"/>
        <v/>
      </c>
      <c r="U117" t="str">
        <f t="shared" si="5"/>
        <v/>
      </c>
      <c r="V117" t="str">
        <f t="shared" si="6"/>
        <v/>
      </c>
      <c r="W117" t="str">
        <f t="shared" si="7"/>
        <v/>
      </c>
    </row>
    <row r="118" spans="6:23">
      <c r="F118" t="str">
        <f t="shared" si="4"/>
        <v/>
      </c>
      <c r="U118" t="str">
        <f t="shared" si="5"/>
        <v/>
      </c>
      <c r="V118" t="str">
        <f t="shared" si="6"/>
        <v/>
      </c>
      <c r="W118" t="str">
        <f t="shared" si="7"/>
        <v/>
      </c>
    </row>
    <row r="119" spans="6:23">
      <c r="F119" t="str">
        <f t="shared" si="4"/>
        <v/>
      </c>
      <c r="U119" t="str">
        <f t="shared" si="5"/>
        <v/>
      </c>
      <c r="V119" t="str">
        <f t="shared" si="6"/>
        <v/>
      </c>
      <c r="W119" t="str">
        <f t="shared" si="7"/>
        <v/>
      </c>
    </row>
    <row r="120" spans="6:23">
      <c r="F120" t="str">
        <f t="shared" si="4"/>
        <v/>
      </c>
      <c r="U120" t="str">
        <f t="shared" si="5"/>
        <v/>
      </c>
      <c r="V120" t="str">
        <f t="shared" si="6"/>
        <v/>
      </c>
      <c r="W120" t="str">
        <f t="shared" si="7"/>
        <v/>
      </c>
    </row>
    <row r="121" spans="6:23">
      <c r="F121" t="str">
        <f t="shared" si="4"/>
        <v/>
      </c>
      <c r="U121" t="str">
        <f t="shared" si="5"/>
        <v/>
      </c>
      <c r="V121" t="str">
        <f t="shared" si="6"/>
        <v/>
      </c>
      <c r="W121" t="str">
        <f t="shared" si="7"/>
        <v/>
      </c>
    </row>
    <row r="122" spans="6:23">
      <c r="F122" t="str">
        <f t="shared" si="4"/>
        <v/>
      </c>
      <c r="U122" t="str">
        <f t="shared" si="5"/>
        <v/>
      </c>
      <c r="V122" t="str">
        <f t="shared" si="6"/>
        <v/>
      </c>
      <c r="W122" t="str">
        <f t="shared" si="7"/>
        <v/>
      </c>
    </row>
    <row r="123" spans="6:23">
      <c r="F123" t="str">
        <f t="shared" si="4"/>
        <v/>
      </c>
      <c r="U123" t="str">
        <f t="shared" si="5"/>
        <v/>
      </c>
      <c r="V123" t="str">
        <f t="shared" si="6"/>
        <v/>
      </c>
      <c r="W123" t="str">
        <f t="shared" si="7"/>
        <v/>
      </c>
    </row>
    <row r="124" spans="6:23">
      <c r="F124" t="str">
        <f t="shared" si="4"/>
        <v/>
      </c>
      <c r="U124" t="str">
        <f t="shared" si="5"/>
        <v/>
      </c>
      <c r="V124" t="str">
        <f t="shared" si="6"/>
        <v/>
      </c>
      <c r="W124" t="str">
        <f t="shared" si="7"/>
        <v/>
      </c>
    </row>
    <row r="125" spans="6:23">
      <c r="F125" t="str">
        <f t="shared" si="4"/>
        <v/>
      </c>
      <c r="U125" t="str">
        <f t="shared" si="5"/>
        <v/>
      </c>
      <c r="V125" t="str">
        <f t="shared" si="6"/>
        <v/>
      </c>
      <c r="W125" t="str">
        <f t="shared" si="7"/>
        <v/>
      </c>
    </row>
    <row r="126" spans="6:23">
      <c r="F126" t="str">
        <f t="shared" si="4"/>
        <v/>
      </c>
      <c r="U126" t="str">
        <f t="shared" si="5"/>
        <v/>
      </c>
      <c r="V126" t="str">
        <f t="shared" si="6"/>
        <v/>
      </c>
      <c r="W126" t="str">
        <f t="shared" si="7"/>
        <v/>
      </c>
    </row>
    <row r="127" spans="6:23">
      <c r="F127" t="str">
        <f t="shared" si="4"/>
        <v/>
      </c>
      <c r="U127" t="str">
        <f t="shared" si="5"/>
        <v/>
      </c>
      <c r="V127" t="str">
        <f t="shared" si="6"/>
        <v/>
      </c>
      <c r="W127" t="str">
        <f t="shared" si="7"/>
        <v/>
      </c>
    </row>
    <row r="128" spans="6:23">
      <c r="F128" t="str">
        <f t="shared" si="4"/>
        <v/>
      </c>
      <c r="U128" t="str">
        <f t="shared" si="5"/>
        <v/>
      </c>
      <c r="V128" t="str">
        <f t="shared" si="6"/>
        <v/>
      </c>
      <c r="W128" t="str">
        <f t="shared" si="7"/>
        <v/>
      </c>
    </row>
    <row r="129" spans="6:23">
      <c r="F129" t="str">
        <f t="shared" si="4"/>
        <v/>
      </c>
      <c r="U129" t="str">
        <f t="shared" si="5"/>
        <v/>
      </c>
      <c r="V129" t="str">
        <f t="shared" si="6"/>
        <v/>
      </c>
      <c r="W129" t="str">
        <f t="shared" si="7"/>
        <v/>
      </c>
    </row>
    <row r="130" spans="6:23">
      <c r="F130" t="str">
        <f t="shared" ref="F130:F193" si="8">IF(E130="","",INT(E130/10)*10&amp;"s")</f>
        <v/>
      </c>
      <c r="U130" t="str">
        <f t="shared" ref="U130:U193" si="9">IF(B130="","",TEXT(B130,"yyyy-mm"))</f>
        <v/>
      </c>
      <c r="V130" t="str">
        <f t="shared" ref="V130:V193" si="10">IF(B130="","",YEAR(B130))</f>
        <v/>
      </c>
      <c r="W130" t="str">
        <f t="shared" ref="W130:W193" si="11">IF(B130="","",WEEKNUM(B130,2))</f>
        <v/>
      </c>
    </row>
    <row r="131" spans="6:23">
      <c r="F131" t="str">
        <f t="shared" si="8"/>
        <v/>
      </c>
      <c r="U131" t="str">
        <f t="shared" si="9"/>
        <v/>
      </c>
      <c r="V131" t="str">
        <f t="shared" si="10"/>
        <v/>
      </c>
      <c r="W131" t="str">
        <f t="shared" si="11"/>
        <v/>
      </c>
    </row>
    <row r="132" spans="6:23">
      <c r="F132" t="str">
        <f t="shared" si="8"/>
        <v/>
      </c>
      <c r="U132" t="str">
        <f t="shared" si="9"/>
        <v/>
      </c>
      <c r="V132" t="str">
        <f t="shared" si="10"/>
        <v/>
      </c>
      <c r="W132" t="str">
        <f t="shared" si="11"/>
        <v/>
      </c>
    </row>
    <row r="133" spans="6:23">
      <c r="F133" t="str">
        <f t="shared" si="8"/>
        <v/>
      </c>
      <c r="U133" t="str">
        <f t="shared" si="9"/>
        <v/>
      </c>
      <c r="V133" t="str">
        <f t="shared" si="10"/>
        <v/>
      </c>
      <c r="W133" t="str">
        <f t="shared" si="11"/>
        <v/>
      </c>
    </row>
    <row r="134" spans="6:23">
      <c r="F134" t="str">
        <f t="shared" si="8"/>
        <v/>
      </c>
      <c r="U134" t="str">
        <f t="shared" si="9"/>
        <v/>
      </c>
      <c r="V134" t="str">
        <f t="shared" si="10"/>
        <v/>
      </c>
      <c r="W134" t="str">
        <f t="shared" si="11"/>
        <v/>
      </c>
    </row>
    <row r="135" spans="6:23">
      <c r="F135" t="str">
        <f t="shared" si="8"/>
        <v/>
      </c>
      <c r="U135" t="str">
        <f t="shared" si="9"/>
        <v/>
      </c>
      <c r="V135" t="str">
        <f t="shared" si="10"/>
        <v/>
      </c>
      <c r="W135" t="str">
        <f t="shared" si="11"/>
        <v/>
      </c>
    </row>
    <row r="136" spans="6:23">
      <c r="F136" t="str">
        <f t="shared" si="8"/>
        <v/>
      </c>
      <c r="U136" t="str">
        <f t="shared" si="9"/>
        <v/>
      </c>
      <c r="V136" t="str">
        <f t="shared" si="10"/>
        <v/>
      </c>
      <c r="W136" t="str">
        <f t="shared" si="11"/>
        <v/>
      </c>
    </row>
    <row r="137" spans="6:23">
      <c r="F137" t="str">
        <f t="shared" si="8"/>
        <v/>
      </c>
      <c r="U137" t="str">
        <f t="shared" si="9"/>
        <v/>
      </c>
      <c r="V137" t="str">
        <f t="shared" si="10"/>
        <v/>
      </c>
      <c r="W137" t="str">
        <f t="shared" si="11"/>
        <v/>
      </c>
    </row>
    <row r="138" spans="6:23">
      <c r="F138" t="str">
        <f t="shared" si="8"/>
        <v/>
      </c>
      <c r="U138" t="str">
        <f t="shared" si="9"/>
        <v/>
      </c>
      <c r="V138" t="str">
        <f t="shared" si="10"/>
        <v/>
      </c>
      <c r="W138" t="str">
        <f t="shared" si="11"/>
        <v/>
      </c>
    </row>
    <row r="139" spans="6:23">
      <c r="F139" t="str">
        <f t="shared" si="8"/>
        <v/>
      </c>
      <c r="U139" t="str">
        <f t="shared" si="9"/>
        <v/>
      </c>
      <c r="V139" t="str">
        <f t="shared" si="10"/>
        <v/>
      </c>
      <c r="W139" t="str">
        <f t="shared" si="11"/>
        <v/>
      </c>
    </row>
    <row r="140" spans="6:23">
      <c r="F140" t="str">
        <f t="shared" si="8"/>
        <v/>
      </c>
      <c r="U140" t="str">
        <f t="shared" si="9"/>
        <v/>
      </c>
      <c r="V140" t="str">
        <f t="shared" si="10"/>
        <v/>
      </c>
      <c r="W140" t="str">
        <f t="shared" si="11"/>
        <v/>
      </c>
    </row>
    <row r="141" spans="6:23">
      <c r="F141" t="str">
        <f t="shared" si="8"/>
        <v/>
      </c>
      <c r="U141" t="str">
        <f t="shared" si="9"/>
        <v/>
      </c>
      <c r="V141" t="str">
        <f t="shared" si="10"/>
        <v/>
      </c>
      <c r="W141" t="str">
        <f t="shared" si="11"/>
        <v/>
      </c>
    </row>
    <row r="142" spans="6:23">
      <c r="F142" t="str">
        <f t="shared" si="8"/>
        <v/>
      </c>
      <c r="U142" t="str">
        <f t="shared" si="9"/>
        <v/>
      </c>
      <c r="V142" t="str">
        <f t="shared" si="10"/>
        <v/>
      </c>
      <c r="W142" t="str">
        <f t="shared" si="11"/>
        <v/>
      </c>
    </row>
    <row r="143" spans="6:23">
      <c r="F143" t="str">
        <f t="shared" si="8"/>
        <v/>
      </c>
      <c r="U143" t="str">
        <f t="shared" si="9"/>
        <v/>
      </c>
      <c r="V143" t="str">
        <f t="shared" si="10"/>
        <v/>
      </c>
      <c r="W143" t="str">
        <f t="shared" si="11"/>
        <v/>
      </c>
    </row>
    <row r="144" spans="6:23">
      <c r="F144" t="str">
        <f t="shared" si="8"/>
        <v/>
      </c>
      <c r="U144" t="str">
        <f t="shared" si="9"/>
        <v/>
      </c>
      <c r="V144" t="str">
        <f t="shared" si="10"/>
        <v/>
      </c>
      <c r="W144" t="str">
        <f t="shared" si="11"/>
        <v/>
      </c>
    </row>
    <row r="145" spans="6:23">
      <c r="F145" t="str">
        <f t="shared" si="8"/>
        <v/>
      </c>
      <c r="U145" t="str">
        <f t="shared" si="9"/>
        <v/>
      </c>
      <c r="V145" t="str">
        <f t="shared" si="10"/>
        <v/>
      </c>
      <c r="W145" t="str">
        <f t="shared" si="11"/>
        <v/>
      </c>
    </row>
    <row r="146" spans="6:23">
      <c r="F146" t="str">
        <f t="shared" si="8"/>
        <v/>
      </c>
      <c r="U146" t="str">
        <f t="shared" si="9"/>
        <v/>
      </c>
      <c r="V146" t="str">
        <f t="shared" si="10"/>
        <v/>
      </c>
      <c r="W146" t="str">
        <f t="shared" si="11"/>
        <v/>
      </c>
    </row>
    <row r="147" spans="6:23">
      <c r="F147" t="str">
        <f t="shared" si="8"/>
        <v/>
      </c>
      <c r="U147" t="str">
        <f t="shared" si="9"/>
        <v/>
      </c>
      <c r="V147" t="str">
        <f t="shared" si="10"/>
        <v/>
      </c>
      <c r="W147" t="str">
        <f t="shared" si="11"/>
        <v/>
      </c>
    </row>
    <row r="148" spans="6:23">
      <c r="F148" t="str">
        <f t="shared" si="8"/>
        <v/>
      </c>
      <c r="U148" t="str">
        <f t="shared" si="9"/>
        <v/>
      </c>
      <c r="V148" t="str">
        <f t="shared" si="10"/>
        <v/>
      </c>
      <c r="W148" t="str">
        <f t="shared" si="11"/>
        <v/>
      </c>
    </row>
    <row r="149" spans="6:23">
      <c r="F149" t="str">
        <f t="shared" si="8"/>
        <v/>
      </c>
      <c r="U149" t="str">
        <f t="shared" si="9"/>
        <v/>
      </c>
      <c r="V149" t="str">
        <f t="shared" si="10"/>
        <v/>
      </c>
      <c r="W149" t="str">
        <f t="shared" si="11"/>
        <v/>
      </c>
    </row>
    <row r="150" spans="6:23">
      <c r="F150" t="str">
        <f t="shared" si="8"/>
        <v/>
      </c>
      <c r="U150" t="str">
        <f t="shared" si="9"/>
        <v/>
      </c>
      <c r="V150" t="str">
        <f t="shared" si="10"/>
        <v/>
      </c>
      <c r="W150" t="str">
        <f t="shared" si="11"/>
        <v/>
      </c>
    </row>
    <row r="151" spans="6:23">
      <c r="F151" t="str">
        <f t="shared" si="8"/>
        <v/>
      </c>
      <c r="U151" t="str">
        <f t="shared" si="9"/>
        <v/>
      </c>
      <c r="V151" t="str">
        <f t="shared" si="10"/>
        <v/>
      </c>
      <c r="W151" t="str">
        <f t="shared" si="11"/>
        <v/>
      </c>
    </row>
    <row r="152" spans="6:23">
      <c r="F152" t="str">
        <f t="shared" si="8"/>
        <v/>
      </c>
      <c r="U152" t="str">
        <f t="shared" si="9"/>
        <v/>
      </c>
      <c r="V152" t="str">
        <f t="shared" si="10"/>
        <v/>
      </c>
      <c r="W152" t="str">
        <f t="shared" si="11"/>
        <v/>
      </c>
    </row>
    <row r="153" spans="6:23">
      <c r="F153" t="str">
        <f t="shared" si="8"/>
        <v/>
      </c>
      <c r="U153" t="str">
        <f t="shared" si="9"/>
        <v/>
      </c>
      <c r="V153" t="str">
        <f t="shared" si="10"/>
        <v/>
      </c>
      <c r="W153" t="str">
        <f t="shared" si="11"/>
        <v/>
      </c>
    </row>
    <row r="154" spans="6:23">
      <c r="F154" t="str">
        <f t="shared" si="8"/>
        <v/>
      </c>
      <c r="U154" t="str">
        <f t="shared" si="9"/>
        <v/>
      </c>
      <c r="V154" t="str">
        <f t="shared" si="10"/>
        <v/>
      </c>
      <c r="W154" t="str">
        <f t="shared" si="11"/>
        <v/>
      </c>
    </row>
    <row r="155" spans="6:23">
      <c r="F155" t="str">
        <f t="shared" si="8"/>
        <v/>
      </c>
      <c r="U155" t="str">
        <f t="shared" si="9"/>
        <v/>
      </c>
      <c r="V155" t="str">
        <f t="shared" si="10"/>
        <v/>
      </c>
      <c r="W155" t="str">
        <f t="shared" si="11"/>
        <v/>
      </c>
    </row>
    <row r="156" spans="6:23">
      <c r="F156" t="str">
        <f t="shared" si="8"/>
        <v/>
      </c>
      <c r="U156" t="str">
        <f t="shared" si="9"/>
        <v/>
      </c>
      <c r="V156" t="str">
        <f t="shared" si="10"/>
        <v/>
      </c>
      <c r="W156" t="str">
        <f t="shared" si="11"/>
        <v/>
      </c>
    </row>
    <row r="157" spans="6:23">
      <c r="F157" t="str">
        <f t="shared" si="8"/>
        <v/>
      </c>
      <c r="U157" t="str">
        <f t="shared" si="9"/>
        <v/>
      </c>
      <c r="V157" t="str">
        <f t="shared" si="10"/>
        <v/>
      </c>
      <c r="W157" t="str">
        <f t="shared" si="11"/>
        <v/>
      </c>
    </row>
    <row r="158" spans="6:23">
      <c r="F158" t="str">
        <f t="shared" si="8"/>
        <v/>
      </c>
      <c r="U158" t="str">
        <f t="shared" si="9"/>
        <v/>
      </c>
      <c r="V158" t="str">
        <f t="shared" si="10"/>
        <v/>
      </c>
      <c r="W158" t="str">
        <f t="shared" si="11"/>
        <v/>
      </c>
    </row>
    <row r="159" spans="6:23">
      <c r="F159" t="str">
        <f t="shared" si="8"/>
        <v/>
      </c>
      <c r="U159" t="str">
        <f t="shared" si="9"/>
        <v/>
      </c>
      <c r="V159" t="str">
        <f t="shared" si="10"/>
        <v/>
      </c>
      <c r="W159" t="str">
        <f t="shared" si="11"/>
        <v/>
      </c>
    </row>
    <row r="160" spans="6:23">
      <c r="F160" t="str">
        <f t="shared" si="8"/>
        <v/>
      </c>
      <c r="U160" t="str">
        <f t="shared" si="9"/>
        <v/>
      </c>
      <c r="V160" t="str">
        <f t="shared" si="10"/>
        <v/>
      </c>
      <c r="W160" t="str">
        <f t="shared" si="11"/>
        <v/>
      </c>
    </row>
    <row r="161" spans="6:23">
      <c r="F161" t="str">
        <f t="shared" si="8"/>
        <v/>
      </c>
      <c r="U161" t="str">
        <f t="shared" si="9"/>
        <v/>
      </c>
      <c r="V161" t="str">
        <f t="shared" si="10"/>
        <v/>
      </c>
      <c r="W161" t="str">
        <f t="shared" si="11"/>
        <v/>
      </c>
    </row>
    <row r="162" spans="6:23">
      <c r="F162" t="str">
        <f t="shared" si="8"/>
        <v/>
      </c>
      <c r="U162" t="str">
        <f t="shared" si="9"/>
        <v/>
      </c>
      <c r="V162" t="str">
        <f t="shared" si="10"/>
        <v/>
      </c>
      <c r="W162" t="str">
        <f t="shared" si="11"/>
        <v/>
      </c>
    </row>
    <row r="163" spans="6:23">
      <c r="F163" t="str">
        <f t="shared" si="8"/>
        <v/>
      </c>
      <c r="U163" t="str">
        <f t="shared" si="9"/>
        <v/>
      </c>
      <c r="V163" t="str">
        <f t="shared" si="10"/>
        <v/>
      </c>
      <c r="W163" t="str">
        <f t="shared" si="11"/>
        <v/>
      </c>
    </row>
    <row r="164" spans="6:23">
      <c r="F164" t="str">
        <f t="shared" si="8"/>
        <v/>
      </c>
      <c r="U164" t="str">
        <f t="shared" si="9"/>
        <v/>
      </c>
      <c r="V164" t="str">
        <f t="shared" si="10"/>
        <v/>
      </c>
      <c r="W164" t="str">
        <f t="shared" si="11"/>
        <v/>
      </c>
    </row>
    <row r="165" spans="6:23">
      <c r="F165" t="str">
        <f t="shared" si="8"/>
        <v/>
      </c>
      <c r="U165" t="str">
        <f t="shared" si="9"/>
        <v/>
      </c>
      <c r="V165" t="str">
        <f t="shared" si="10"/>
        <v/>
      </c>
      <c r="W165" t="str">
        <f t="shared" si="11"/>
        <v/>
      </c>
    </row>
    <row r="166" spans="6:23">
      <c r="F166" t="str">
        <f t="shared" si="8"/>
        <v/>
      </c>
      <c r="U166" t="str">
        <f t="shared" si="9"/>
        <v/>
      </c>
      <c r="V166" t="str">
        <f t="shared" si="10"/>
        <v/>
      </c>
      <c r="W166" t="str">
        <f t="shared" si="11"/>
        <v/>
      </c>
    </row>
    <row r="167" spans="6:23">
      <c r="F167" t="str">
        <f t="shared" si="8"/>
        <v/>
      </c>
      <c r="U167" t="str">
        <f t="shared" si="9"/>
        <v/>
      </c>
      <c r="V167" t="str">
        <f t="shared" si="10"/>
        <v/>
      </c>
      <c r="W167" t="str">
        <f t="shared" si="11"/>
        <v/>
      </c>
    </row>
    <row r="168" spans="6:23">
      <c r="F168" t="str">
        <f t="shared" si="8"/>
        <v/>
      </c>
      <c r="U168" t="str">
        <f t="shared" si="9"/>
        <v/>
      </c>
      <c r="V168" t="str">
        <f t="shared" si="10"/>
        <v/>
      </c>
      <c r="W168" t="str">
        <f t="shared" si="11"/>
        <v/>
      </c>
    </row>
    <row r="169" spans="6:23">
      <c r="F169" t="str">
        <f t="shared" si="8"/>
        <v/>
      </c>
      <c r="U169" t="str">
        <f t="shared" si="9"/>
        <v/>
      </c>
      <c r="V169" t="str">
        <f t="shared" si="10"/>
        <v/>
      </c>
      <c r="W169" t="str">
        <f t="shared" si="11"/>
        <v/>
      </c>
    </row>
    <row r="170" spans="6:23">
      <c r="F170" t="str">
        <f t="shared" si="8"/>
        <v/>
      </c>
      <c r="U170" t="str">
        <f t="shared" si="9"/>
        <v/>
      </c>
      <c r="V170" t="str">
        <f t="shared" si="10"/>
        <v/>
      </c>
      <c r="W170" t="str">
        <f t="shared" si="11"/>
        <v/>
      </c>
    </row>
    <row r="171" spans="6:23">
      <c r="F171" t="str">
        <f t="shared" si="8"/>
        <v/>
      </c>
      <c r="U171" t="str">
        <f t="shared" si="9"/>
        <v/>
      </c>
      <c r="V171" t="str">
        <f t="shared" si="10"/>
        <v/>
      </c>
      <c r="W171" t="str">
        <f t="shared" si="11"/>
        <v/>
      </c>
    </row>
    <row r="172" spans="6:23">
      <c r="F172" t="str">
        <f t="shared" si="8"/>
        <v/>
      </c>
      <c r="U172" t="str">
        <f t="shared" si="9"/>
        <v/>
      </c>
      <c r="V172" t="str">
        <f t="shared" si="10"/>
        <v/>
      </c>
      <c r="W172" t="str">
        <f t="shared" si="11"/>
        <v/>
      </c>
    </row>
    <row r="173" spans="6:23">
      <c r="F173" t="str">
        <f t="shared" si="8"/>
        <v/>
      </c>
      <c r="U173" t="str">
        <f t="shared" si="9"/>
        <v/>
      </c>
      <c r="V173" t="str">
        <f t="shared" si="10"/>
        <v/>
      </c>
      <c r="W173" t="str">
        <f t="shared" si="11"/>
        <v/>
      </c>
    </row>
    <row r="174" spans="6:23">
      <c r="F174" t="str">
        <f t="shared" si="8"/>
        <v/>
      </c>
      <c r="U174" t="str">
        <f t="shared" si="9"/>
        <v/>
      </c>
      <c r="V174" t="str">
        <f t="shared" si="10"/>
        <v/>
      </c>
      <c r="W174" t="str">
        <f t="shared" si="11"/>
        <v/>
      </c>
    </row>
    <row r="175" spans="6:23">
      <c r="F175" t="str">
        <f t="shared" si="8"/>
        <v/>
      </c>
      <c r="U175" t="str">
        <f t="shared" si="9"/>
        <v/>
      </c>
      <c r="V175" t="str">
        <f t="shared" si="10"/>
        <v/>
      </c>
      <c r="W175" t="str">
        <f t="shared" si="11"/>
        <v/>
      </c>
    </row>
    <row r="176" spans="6:23">
      <c r="F176" t="str">
        <f t="shared" si="8"/>
        <v/>
      </c>
      <c r="U176" t="str">
        <f t="shared" si="9"/>
        <v/>
      </c>
      <c r="V176" t="str">
        <f t="shared" si="10"/>
        <v/>
      </c>
      <c r="W176" t="str">
        <f t="shared" si="11"/>
        <v/>
      </c>
    </row>
    <row r="177" spans="6:23">
      <c r="F177" t="str">
        <f t="shared" si="8"/>
        <v/>
      </c>
      <c r="U177" t="str">
        <f t="shared" si="9"/>
        <v/>
      </c>
      <c r="V177" t="str">
        <f t="shared" si="10"/>
        <v/>
      </c>
      <c r="W177" t="str">
        <f t="shared" si="11"/>
        <v/>
      </c>
    </row>
    <row r="178" spans="6:23">
      <c r="F178" t="str">
        <f t="shared" si="8"/>
        <v/>
      </c>
      <c r="U178" t="str">
        <f t="shared" si="9"/>
        <v/>
      </c>
      <c r="V178" t="str">
        <f t="shared" si="10"/>
        <v/>
      </c>
      <c r="W178" t="str">
        <f t="shared" si="11"/>
        <v/>
      </c>
    </row>
    <row r="179" spans="6:23">
      <c r="F179" t="str">
        <f t="shared" si="8"/>
        <v/>
      </c>
      <c r="U179" t="str">
        <f t="shared" si="9"/>
        <v/>
      </c>
      <c r="V179" t="str">
        <f t="shared" si="10"/>
        <v/>
      </c>
      <c r="W179" t="str">
        <f t="shared" si="11"/>
        <v/>
      </c>
    </row>
    <row r="180" spans="6:23">
      <c r="F180" t="str">
        <f t="shared" si="8"/>
        <v/>
      </c>
      <c r="U180" t="str">
        <f t="shared" si="9"/>
        <v/>
      </c>
      <c r="V180" t="str">
        <f t="shared" si="10"/>
        <v/>
      </c>
      <c r="W180" t="str">
        <f t="shared" si="11"/>
        <v/>
      </c>
    </row>
    <row r="181" spans="6:23">
      <c r="F181" t="str">
        <f t="shared" si="8"/>
        <v/>
      </c>
      <c r="U181" t="str">
        <f t="shared" si="9"/>
        <v/>
      </c>
      <c r="V181" t="str">
        <f t="shared" si="10"/>
        <v/>
      </c>
      <c r="W181" t="str">
        <f t="shared" si="11"/>
        <v/>
      </c>
    </row>
    <row r="182" spans="6:23">
      <c r="F182" t="str">
        <f t="shared" si="8"/>
        <v/>
      </c>
      <c r="U182" t="str">
        <f t="shared" si="9"/>
        <v/>
      </c>
      <c r="V182" t="str">
        <f t="shared" si="10"/>
        <v/>
      </c>
      <c r="W182" t="str">
        <f t="shared" si="11"/>
        <v/>
      </c>
    </row>
    <row r="183" spans="6:23">
      <c r="F183" t="str">
        <f t="shared" si="8"/>
        <v/>
      </c>
      <c r="U183" t="str">
        <f t="shared" si="9"/>
        <v/>
      </c>
      <c r="V183" t="str">
        <f t="shared" si="10"/>
        <v/>
      </c>
      <c r="W183" t="str">
        <f t="shared" si="11"/>
        <v/>
      </c>
    </row>
    <row r="184" spans="6:23">
      <c r="F184" t="str">
        <f t="shared" si="8"/>
        <v/>
      </c>
      <c r="U184" t="str">
        <f t="shared" si="9"/>
        <v/>
      </c>
      <c r="V184" t="str">
        <f t="shared" si="10"/>
        <v/>
      </c>
      <c r="W184" t="str">
        <f t="shared" si="11"/>
        <v/>
      </c>
    </row>
    <row r="185" spans="6:23">
      <c r="F185" t="str">
        <f t="shared" si="8"/>
        <v/>
      </c>
      <c r="U185" t="str">
        <f t="shared" si="9"/>
        <v/>
      </c>
      <c r="V185" t="str">
        <f t="shared" si="10"/>
        <v/>
      </c>
      <c r="W185" t="str">
        <f t="shared" si="11"/>
        <v/>
      </c>
    </row>
    <row r="186" spans="6:23">
      <c r="F186" t="str">
        <f t="shared" si="8"/>
        <v/>
      </c>
      <c r="U186" t="str">
        <f t="shared" si="9"/>
        <v/>
      </c>
      <c r="V186" t="str">
        <f t="shared" si="10"/>
        <v/>
      </c>
      <c r="W186" t="str">
        <f t="shared" si="11"/>
        <v/>
      </c>
    </row>
    <row r="187" spans="6:23">
      <c r="F187" t="str">
        <f t="shared" si="8"/>
        <v/>
      </c>
      <c r="U187" t="str">
        <f t="shared" si="9"/>
        <v/>
      </c>
      <c r="V187" t="str">
        <f t="shared" si="10"/>
        <v/>
      </c>
      <c r="W187" t="str">
        <f t="shared" si="11"/>
        <v/>
      </c>
    </row>
    <row r="188" spans="6:23">
      <c r="F188" t="str">
        <f t="shared" si="8"/>
        <v/>
      </c>
      <c r="U188" t="str">
        <f t="shared" si="9"/>
        <v/>
      </c>
      <c r="V188" t="str">
        <f t="shared" si="10"/>
        <v/>
      </c>
      <c r="W188" t="str">
        <f t="shared" si="11"/>
        <v/>
      </c>
    </row>
    <row r="189" spans="6:23">
      <c r="F189" t="str">
        <f t="shared" si="8"/>
        <v/>
      </c>
      <c r="U189" t="str">
        <f t="shared" si="9"/>
        <v/>
      </c>
      <c r="V189" t="str">
        <f t="shared" si="10"/>
        <v/>
      </c>
      <c r="W189" t="str">
        <f t="shared" si="11"/>
        <v/>
      </c>
    </row>
    <row r="190" spans="6:23">
      <c r="F190" t="str">
        <f t="shared" si="8"/>
        <v/>
      </c>
      <c r="U190" t="str">
        <f t="shared" si="9"/>
        <v/>
      </c>
      <c r="V190" t="str">
        <f t="shared" si="10"/>
        <v/>
      </c>
      <c r="W190" t="str">
        <f t="shared" si="11"/>
        <v/>
      </c>
    </row>
    <row r="191" spans="6:23">
      <c r="F191" t="str">
        <f t="shared" si="8"/>
        <v/>
      </c>
      <c r="U191" t="str">
        <f t="shared" si="9"/>
        <v/>
      </c>
      <c r="V191" t="str">
        <f t="shared" si="10"/>
        <v/>
      </c>
      <c r="W191" t="str">
        <f t="shared" si="11"/>
        <v/>
      </c>
    </row>
    <row r="192" spans="6:23">
      <c r="F192" t="str">
        <f t="shared" si="8"/>
        <v/>
      </c>
      <c r="U192" t="str">
        <f t="shared" si="9"/>
        <v/>
      </c>
      <c r="V192" t="str">
        <f t="shared" si="10"/>
        <v/>
      </c>
      <c r="W192" t="str">
        <f t="shared" si="11"/>
        <v/>
      </c>
    </row>
    <row r="193" spans="6:23">
      <c r="F193" t="str">
        <f t="shared" si="8"/>
        <v/>
      </c>
      <c r="U193" t="str">
        <f t="shared" si="9"/>
        <v/>
      </c>
      <c r="V193" t="str">
        <f t="shared" si="10"/>
        <v/>
      </c>
      <c r="W193" t="str">
        <f t="shared" si="11"/>
        <v/>
      </c>
    </row>
    <row r="194" spans="6:23">
      <c r="F194" t="str">
        <f t="shared" ref="F194:F257" si="12">IF(E194="","",INT(E194/10)*10&amp;"s")</f>
        <v/>
      </c>
      <c r="U194" t="str">
        <f t="shared" ref="U194:U257" si="13">IF(B194="","",TEXT(B194,"yyyy-mm"))</f>
        <v/>
      </c>
      <c r="V194" t="str">
        <f t="shared" ref="V194:V257" si="14">IF(B194="","",YEAR(B194))</f>
        <v/>
      </c>
      <c r="W194" t="str">
        <f t="shared" ref="W194:W257" si="15">IF(B194="","",WEEKNUM(B194,2))</f>
        <v/>
      </c>
    </row>
    <row r="195" spans="6:23">
      <c r="F195" t="str">
        <f t="shared" si="12"/>
        <v/>
      </c>
      <c r="U195" t="str">
        <f t="shared" si="13"/>
        <v/>
      </c>
      <c r="V195" t="str">
        <f t="shared" si="14"/>
        <v/>
      </c>
      <c r="W195" t="str">
        <f t="shared" si="15"/>
        <v/>
      </c>
    </row>
    <row r="196" spans="6:23">
      <c r="F196" t="str">
        <f t="shared" si="12"/>
        <v/>
      </c>
      <c r="U196" t="str">
        <f t="shared" si="13"/>
        <v/>
      </c>
      <c r="V196" t="str">
        <f t="shared" si="14"/>
        <v/>
      </c>
      <c r="W196" t="str">
        <f t="shared" si="15"/>
        <v/>
      </c>
    </row>
    <row r="197" spans="6:23">
      <c r="F197" t="str">
        <f t="shared" si="12"/>
        <v/>
      </c>
      <c r="U197" t="str">
        <f t="shared" si="13"/>
        <v/>
      </c>
      <c r="V197" t="str">
        <f t="shared" si="14"/>
        <v/>
      </c>
      <c r="W197" t="str">
        <f t="shared" si="15"/>
        <v/>
      </c>
    </row>
    <row r="198" spans="6:23">
      <c r="F198" t="str">
        <f t="shared" si="12"/>
        <v/>
      </c>
      <c r="U198" t="str">
        <f t="shared" si="13"/>
        <v/>
      </c>
      <c r="V198" t="str">
        <f t="shared" si="14"/>
        <v/>
      </c>
      <c r="W198" t="str">
        <f t="shared" si="15"/>
        <v/>
      </c>
    </row>
    <row r="199" spans="6:23">
      <c r="F199" t="str">
        <f t="shared" si="12"/>
        <v/>
      </c>
      <c r="U199" t="str">
        <f t="shared" si="13"/>
        <v/>
      </c>
      <c r="V199" t="str">
        <f t="shared" si="14"/>
        <v/>
      </c>
      <c r="W199" t="str">
        <f t="shared" si="15"/>
        <v/>
      </c>
    </row>
    <row r="200" spans="6:23">
      <c r="F200" t="str">
        <f t="shared" si="12"/>
        <v/>
      </c>
      <c r="U200" t="str">
        <f t="shared" si="13"/>
        <v/>
      </c>
      <c r="V200" t="str">
        <f t="shared" si="14"/>
        <v/>
      </c>
      <c r="W200" t="str">
        <f t="shared" si="15"/>
        <v/>
      </c>
    </row>
    <row r="201" spans="6:23">
      <c r="F201" t="str">
        <f t="shared" si="12"/>
        <v/>
      </c>
      <c r="U201" t="str">
        <f t="shared" si="13"/>
        <v/>
      </c>
      <c r="V201" t="str">
        <f t="shared" si="14"/>
        <v/>
      </c>
      <c r="W201" t="str">
        <f t="shared" si="15"/>
        <v/>
      </c>
    </row>
    <row r="202" spans="6:23">
      <c r="F202" t="str">
        <f t="shared" si="12"/>
        <v/>
      </c>
      <c r="U202" t="str">
        <f t="shared" si="13"/>
        <v/>
      </c>
      <c r="V202" t="str">
        <f t="shared" si="14"/>
        <v/>
      </c>
      <c r="W202" t="str">
        <f t="shared" si="15"/>
        <v/>
      </c>
    </row>
    <row r="203" spans="6:23">
      <c r="F203" t="str">
        <f t="shared" si="12"/>
        <v/>
      </c>
      <c r="U203" t="str">
        <f t="shared" si="13"/>
        <v/>
      </c>
      <c r="V203" t="str">
        <f t="shared" si="14"/>
        <v/>
      </c>
      <c r="W203" t="str">
        <f t="shared" si="15"/>
        <v/>
      </c>
    </row>
    <row r="204" spans="6:23">
      <c r="F204" t="str">
        <f t="shared" si="12"/>
        <v/>
      </c>
      <c r="U204" t="str">
        <f t="shared" si="13"/>
        <v/>
      </c>
      <c r="V204" t="str">
        <f t="shared" si="14"/>
        <v/>
      </c>
      <c r="W204" t="str">
        <f t="shared" si="15"/>
        <v/>
      </c>
    </row>
    <row r="205" spans="6:23">
      <c r="F205" t="str">
        <f t="shared" si="12"/>
        <v/>
      </c>
      <c r="U205" t="str">
        <f t="shared" si="13"/>
        <v/>
      </c>
      <c r="V205" t="str">
        <f t="shared" si="14"/>
        <v/>
      </c>
      <c r="W205" t="str">
        <f t="shared" si="15"/>
        <v/>
      </c>
    </row>
    <row r="206" spans="6:23">
      <c r="F206" t="str">
        <f t="shared" si="12"/>
        <v/>
      </c>
      <c r="U206" t="str">
        <f t="shared" si="13"/>
        <v/>
      </c>
      <c r="V206" t="str">
        <f t="shared" si="14"/>
        <v/>
      </c>
      <c r="W206" t="str">
        <f t="shared" si="15"/>
        <v/>
      </c>
    </row>
    <row r="207" spans="6:23">
      <c r="F207" t="str">
        <f t="shared" si="12"/>
        <v/>
      </c>
      <c r="U207" t="str">
        <f t="shared" si="13"/>
        <v/>
      </c>
      <c r="V207" t="str">
        <f t="shared" si="14"/>
        <v/>
      </c>
      <c r="W207" t="str">
        <f t="shared" si="15"/>
        <v/>
      </c>
    </row>
    <row r="208" spans="6:23">
      <c r="F208" t="str">
        <f t="shared" si="12"/>
        <v/>
      </c>
      <c r="U208" t="str">
        <f t="shared" si="13"/>
        <v/>
      </c>
      <c r="V208" t="str">
        <f t="shared" si="14"/>
        <v/>
      </c>
      <c r="W208" t="str">
        <f t="shared" si="15"/>
        <v/>
      </c>
    </row>
    <row r="209" spans="6:23">
      <c r="F209" t="str">
        <f t="shared" si="12"/>
        <v/>
      </c>
      <c r="U209" t="str">
        <f t="shared" si="13"/>
        <v/>
      </c>
      <c r="V209" t="str">
        <f t="shared" si="14"/>
        <v/>
      </c>
      <c r="W209" t="str">
        <f t="shared" si="15"/>
        <v/>
      </c>
    </row>
    <row r="210" spans="6:23">
      <c r="F210" t="str">
        <f t="shared" si="12"/>
        <v/>
      </c>
      <c r="U210" t="str">
        <f t="shared" si="13"/>
        <v/>
      </c>
      <c r="V210" t="str">
        <f t="shared" si="14"/>
        <v/>
      </c>
      <c r="W210" t="str">
        <f t="shared" si="15"/>
        <v/>
      </c>
    </row>
    <row r="211" spans="6:23">
      <c r="F211" t="str">
        <f t="shared" si="12"/>
        <v/>
      </c>
      <c r="U211" t="str">
        <f t="shared" si="13"/>
        <v/>
      </c>
      <c r="V211" t="str">
        <f t="shared" si="14"/>
        <v/>
      </c>
      <c r="W211" t="str">
        <f t="shared" si="15"/>
        <v/>
      </c>
    </row>
    <row r="212" spans="6:23">
      <c r="F212" t="str">
        <f t="shared" si="12"/>
        <v/>
      </c>
      <c r="U212" t="str">
        <f t="shared" si="13"/>
        <v/>
      </c>
      <c r="V212" t="str">
        <f t="shared" si="14"/>
        <v/>
      </c>
      <c r="W212" t="str">
        <f t="shared" si="15"/>
        <v/>
      </c>
    </row>
    <row r="213" spans="6:23">
      <c r="F213" t="str">
        <f t="shared" si="12"/>
        <v/>
      </c>
      <c r="U213" t="str">
        <f t="shared" si="13"/>
        <v/>
      </c>
      <c r="V213" t="str">
        <f t="shared" si="14"/>
        <v/>
      </c>
      <c r="W213" t="str">
        <f t="shared" si="15"/>
        <v/>
      </c>
    </row>
    <row r="214" spans="6:23">
      <c r="F214" t="str">
        <f t="shared" si="12"/>
        <v/>
      </c>
      <c r="U214" t="str">
        <f t="shared" si="13"/>
        <v/>
      </c>
      <c r="V214" t="str">
        <f t="shared" si="14"/>
        <v/>
      </c>
      <c r="W214" t="str">
        <f t="shared" si="15"/>
        <v/>
      </c>
    </row>
    <row r="215" spans="6:23">
      <c r="F215" t="str">
        <f t="shared" si="12"/>
        <v/>
      </c>
      <c r="U215" t="str">
        <f t="shared" si="13"/>
        <v/>
      </c>
      <c r="V215" t="str">
        <f t="shared" si="14"/>
        <v/>
      </c>
      <c r="W215" t="str">
        <f t="shared" si="15"/>
        <v/>
      </c>
    </row>
    <row r="216" spans="6:23">
      <c r="F216" t="str">
        <f t="shared" si="12"/>
        <v/>
      </c>
      <c r="U216" t="str">
        <f t="shared" si="13"/>
        <v/>
      </c>
      <c r="V216" t="str">
        <f t="shared" si="14"/>
        <v/>
      </c>
      <c r="W216" t="str">
        <f t="shared" si="15"/>
        <v/>
      </c>
    </row>
    <row r="217" spans="6:23">
      <c r="F217" t="str">
        <f t="shared" si="12"/>
        <v/>
      </c>
      <c r="U217" t="str">
        <f t="shared" si="13"/>
        <v/>
      </c>
      <c r="V217" t="str">
        <f t="shared" si="14"/>
        <v/>
      </c>
      <c r="W217" t="str">
        <f t="shared" si="15"/>
        <v/>
      </c>
    </row>
    <row r="218" spans="6:23">
      <c r="F218" t="str">
        <f t="shared" si="12"/>
        <v/>
      </c>
      <c r="U218" t="str">
        <f t="shared" si="13"/>
        <v/>
      </c>
      <c r="V218" t="str">
        <f t="shared" si="14"/>
        <v/>
      </c>
      <c r="W218" t="str">
        <f t="shared" si="15"/>
        <v/>
      </c>
    </row>
    <row r="219" spans="6:23">
      <c r="F219" t="str">
        <f t="shared" si="12"/>
        <v/>
      </c>
      <c r="U219" t="str">
        <f t="shared" si="13"/>
        <v/>
      </c>
      <c r="V219" t="str">
        <f t="shared" si="14"/>
        <v/>
      </c>
      <c r="W219" t="str">
        <f t="shared" si="15"/>
        <v/>
      </c>
    </row>
    <row r="220" spans="6:23">
      <c r="F220" t="str">
        <f t="shared" si="12"/>
        <v/>
      </c>
      <c r="U220" t="str">
        <f t="shared" si="13"/>
        <v/>
      </c>
      <c r="V220" t="str">
        <f t="shared" si="14"/>
        <v/>
      </c>
      <c r="W220" t="str">
        <f t="shared" si="15"/>
        <v/>
      </c>
    </row>
    <row r="221" spans="6:23">
      <c r="F221" t="str">
        <f t="shared" si="12"/>
        <v/>
      </c>
      <c r="U221" t="str">
        <f t="shared" si="13"/>
        <v/>
      </c>
      <c r="V221" t="str">
        <f t="shared" si="14"/>
        <v/>
      </c>
      <c r="W221" t="str">
        <f t="shared" si="15"/>
        <v/>
      </c>
    </row>
    <row r="222" spans="6:23">
      <c r="F222" t="str">
        <f t="shared" si="12"/>
        <v/>
      </c>
      <c r="U222" t="str">
        <f t="shared" si="13"/>
        <v/>
      </c>
      <c r="V222" t="str">
        <f t="shared" si="14"/>
        <v/>
      </c>
      <c r="W222" t="str">
        <f t="shared" si="15"/>
        <v/>
      </c>
    </row>
    <row r="223" spans="6:23">
      <c r="F223" t="str">
        <f t="shared" si="12"/>
        <v/>
      </c>
      <c r="U223" t="str">
        <f t="shared" si="13"/>
        <v/>
      </c>
      <c r="V223" t="str">
        <f t="shared" si="14"/>
        <v/>
      </c>
      <c r="W223" t="str">
        <f t="shared" si="15"/>
        <v/>
      </c>
    </row>
    <row r="224" spans="6:23">
      <c r="F224" t="str">
        <f t="shared" si="12"/>
        <v/>
      </c>
      <c r="U224" t="str">
        <f t="shared" si="13"/>
        <v/>
      </c>
      <c r="V224" t="str">
        <f t="shared" si="14"/>
        <v/>
      </c>
      <c r="W224" t="str">
        <f t="shared" si="15"/>
        <v/>
      </c>
    </row>
    <row r="225" spans="6:23">
      <c r="F225" t="str">
        <f t="shared" si="12"/>
        <v/>
      </c>
      <c r="U225" t="str">
        <f t="shared" si="13"/>
        <v/>
      </c>
      <c r="V225" t="str">
        <f t="shared" si="14"/>
        <v/>
      </c>
      <c r="W225" t="str">
        <f t="shared" si="15"/>
        <v/>
      </c>
    </row>
    <row r="226" spans="6:23">
      <c r="F226" t="str">
        <f t="shared" si="12"/>
        <v/>
      </c>
      <c r="U226" t="str">
        <f t="shared" si="13"/>
        <v/>
      </c>
      <c r="V226" t="str">
        <f t="shared" si="14"/>
        <v/>
      </c>
      <c r="W226" t="str">
        <f t="shared" si="15"/>
        <v/>
      </c>
    </row>
    <row r="227" spans="6:23">
      <c r="F227" t="str">
        <f t="shared" si="12"/>
        <v/>
      </c>
      <c r="U227" t="str">
        <f t="shared" si="13"/>
        <v/>
      </c>
      <c r="V227" t="str">
        <f t="shared" si="14"/>
        <v/>
      </c>
      <c r="W227" t="str">
        <f t="shared" si="15"/>
        <v/>
      </c>
    </row>
    <row r="228" spans="6:23">
      <c r="F228" t="str">
        <f t="shared" si="12"/>
        <v/>
      </c>
      <c r="U228" t="str">
        <f t="shared" si="13"/>
        <v/>
      </c>
      <c r="V228" t="str">
        <f t="shared" si="14"/>
        <v/>
      </c>
      <c r="W228" t="str">
        <f t="shared" si="15"/>
        <v/>
      </c>
    </row>
    <row r="229" spans="6:23">
      <c r="F229" t="str">
        <f t="shared" si="12"/>
        <v/>
      </c>
      <c r="U229" t="str">
        <f t="shared" si="13"/>
        <v/>
      </c>
      <c r="V229" t="str">
        <f t="shared" si="14"/>
        <v/>
      </c>
      <c r="W229" t="str">
        <f t="shared" si="15"/>
        <v/>
      </c>
    </row>
    <row r="230" spans="6:23">
      <c r="F230" t="str">
        <f t="shared" si="12"/>
        <v/>
      </c>
      <c r="U230" t="str">
        <f t="shared" si="13"/>
        <v/>
      </c>
      <c r="V230" t="str">
        <f t="shared" si="14"/>
        <v/>
      </c>
      <c r="W230" t="str">
        <f t="shared" si="15"/>
        <v/>
      </c>
    </row>
    <row r="231" spans="6:23">
      <c r="F231" t="str">
        <f t="shared" si="12"/>
        <v/>
      </c>
      <c r="U231" t="str">
        <f t="shared" si="13"/>
        <v/>
      </c>
      <c r="V231" t="str">
        <f t="shared" si="14"/>
        <v/>
      </c>
      <c r="W231" t="str">
        <f t="shared" si="15"/>
        <v/>
      </c>
    </row>
    <row r="232" spans="6:23">
      <c r="F232" t="str">
        <f t="shared" si="12"/>
        <v/>
      </c>
      <c r="U232" t="str">
        <f t="shared" si="13"/>
        <v/>
      </c>
      <c r="V232" t="str">
        <f t="shared" si="14"/>
        <v/>
      </c>
      <c r="W232" t="str">
        <f t="shared" si="15"/>
        <v/>
      </c>
    </row>
    <row r="233" spans="6:23">
      <c r="F233" t="str">
        <f t="shared" si="12"/>
        <v/>
      </c>
      <c r="U233" t="str">
        <f t="shared" si="13"/>
        <v/>
      </c>
      <c r="V233" t="str">
        <f t="shared" si="14"/>
        <v/>
      </c>
      <c r="W233" t="str">
        <f t="shared" si="15"/>
        <v/>
      </c>
    </row>
    <row r="234" spans="6:23">
      <c r="F234" t="str">
        <f t="shared" si="12"/>
        <v/>
      </c>
      <c r="U234" t="str">
        <f t="shared" si="13"/>
        <v/>
      </c>
      <c r="V234" t="str">
        <f t="shared" si="14"/>
        <v/>
      </c>
      <c r="W234" t="str">
        <f t="shared" si="15"/>
        <v/>
      </c>
    </row>
    <row r="235" spans="6:23">
      <c r="F235" t="str">
        <f t="shared" si="12"/>
        <v/>
      </c>
      <c r="U235" t="str">
        <f t="shared" si="13"/>
        <v/>
      </c>
      <c r="V235" t="str">
        <f t="shared" si="14"/>
        <v/>
      </c>
      <c r="W235" t="str">
        <f t="shared" si="15"/>
        <v/>
      </c>
    </row>
    <row r="236" spans="6:23">
      <c r="F236" t="str">
        <f t="shared" si="12"/>
        <v/>
      </c>
      <c r="U236" t="str">
        <f t="shared" si="13"/>
        <v/>
      </c>
      <c r="V236" t="str">
        <f t="shared" si="14"/>
        <v/>
      </c>
      <c r="W236" t="str">
        <f t="shared" si="15"/>
        <v/>
      </c>
    </row>
    <row r="237" spans="6:23">
      <c r="F237" t="str">
        <f t="shared" si="12"/>
        <v/>
      </c>
      <c r="U237" t="str">
        <f t="shared" si="13"/>
        <v/>
      </c>
      <c r="V237" t="str">
        <f t="shared" si="14"/>
        <v/>
      </c>
      <c r="W237" t="str">
        <f t="shared" si="15"/>
        <v/>
      </c>
    </row>
    <row r="238" spans="6:23">
      <c r="F238" t="str">
        <f t="shared" si="12"/>
        <v/>
      </c>
      <c r="U238" t="str">
        <f t="shared" si="13"/>
        <v/>
      </c>
      <c r="V238" t="str">
        <f t="shared" si="14"/>
        <v/>
      </c>
      <c r="W238" t="str">
        <f t="shared" si="15"/>
        <v/>
      </c>
    </row>
    <row r="239" spans="6:23">
      <c r="F239" t="str">
        <f t="shared" si="12"/>
        <v/>
      </c>
      <c r="U239" t="str">
        <f t="shared" si="13"/>
        <v/>
      </c>
      <c r="V239" t="str">
        <f t="shared" si="14"/>
        <v/>
      </c>
      <c r="W239" t="str">
        <f t="shared" si="15"/>
        <v/>
      </c>
    </row>
    <row r="240" spans="6:23">
      <c r="F240" t="str">
        <f t="shared" si="12"/>
        <v/>
      </c>
      <c r="U240" t="str">
        <f t="shared" si="13"/>
        <v/>
      </c>
      <c r="V240" t="str">
        <f t="shared" si="14"/>
        <v/>
      </c>
      <c r="W240" t="str">
        <f t="shared" si="15"/>
        <v/>
      </c>
    </row>
    <row r="241" spans="6:23">
      <c r="F241" t="str">
        <f t="shared" si="12"/>
        <v/>
      </c>
      <c r="U241" t="str">
        <f t="shared" si="13"/>
        <v/>
      </c>
      <c r="V241" t="str">
        <f t="shared" si="14"/>
        <v/>
      </c>
      <c r="W241" t="str">
        <f t="shared" si="15"/>
        <v/>
      </c>
    </row>
    <row r="242" spans="6:23">
      <c r="F242" t="str">
        <f t="shared" si="12"/>
        <v/>
      </c>
      <c r="U242" t="str">
        <f t="shared" si="13"/>
        <v/>
      </c>
      <c r="V242" t="str">
        <f t="shared" si="14"/>
        <v/>
      </c>
      <c r="W242" t="str">
        <f t="shared" si="15"/>
        <v/>
      </c>
    </row>
    <row r="243" spans="6:23">
      <c r="F243" t="str">
        <f t="shared" si="12"/>
        <v/>
      </c>
      <c r="U243" t="str">
        <f t="shared" si="13"/>
        <v/>
      </c>
      <c r="V243" t="str">
        <f t="shared" si="14"/>
        <v/>
      </c>
      <c r="W243" t="str">
        <f t="shared" si="15"/>
        <v/>
      </c>
    </row>
    <row r="244" spans="6:23">
      <c r="F244" t="str">
        <f t="shared" si="12"/>
        <v/>
      </c>
      <c r="U244" t="str">
        <f t="shared" si="13"/>
        <v/>
      </c>
      <c r="V244" t="str">
        <f t="shared" si="14"/>
        <v/>
      </c>
      <c r="W244" t="str">
        <f t="shared" si="15"/>
        <v/>
      </c>
    </row>
    <row r="245" spans="6:23">
      <c r="F245" t="str">
        <f t="shared" si="12"/>
        <v/>
      </c>
      <c r="U245" t="str">
        <f t="shared" si="13"/>
        <v/>
      </c>
      <c r="V245" t="str">
        <f t="shared" si="14"/>
        <v/>
      </c>
      <c r="W245" t="str">
        <f t="shared" si="15"/>
        <v/>
      </c>
    </row>
    <row r="246" spans="6:23">
      <c r="F246" t="str">
        <f t="shared" si="12"/>
        <v/>
      </c>
      <c r="U246" t="str">
        <f t="shared" si="13"/>
        <v/>
      </c>
      <c r="V246" t="str">
        <f t="shared" si="14"/>
        <v/>
      </c>
      <c r="W246" t="str">
        <f t="shared" si="15"/>
        <v/>
      </c>
    </row>
    <row r="247" spans="6:23">
      <c r="F247" t="str">
        <f t="shared" si="12"/>
        <v/>
      </c>
      <c r="U247" t="str">
        <f t="shared" si="13"/>
        <v/>
      </c>
      <c r="V247" t="str">
        <f t="shared" si="14"/>
        <v/>
      </c>
      <c r="W247" t="str">
        <f t="shared" si="15"/>
        <v/>
      </c>
    </row>
    <row r="248" spans="6:23">
      <c r="F248" t="str">
        <f t="shared" si="12"/>
        <v/>
      </c>
      <c r="U248" t="str">
        <f t="shared" si="13"/>
        <v/>
      </c>
      <c r="V248" t="str">
        <f t="shared" si="14"/>
        <v/>
      </c>
      <c r="W248" t="str">
        <f t="shared" si="15"/>
        <v/>
      </c>
    </row>
    <row r="249" spans="6:23">
      <c r="F249" t="str">
        <f t="shared" si="12"/>
        <v/>
      </c>
      <c r="U249" t="str">
        <f t="shared" si="13"/>
        <v/>
      </c>
      <c r="V249" t="str">
        <f t="shared" si="14"/>
        <v/>
      </c>
      <c r="W249" t="str">
        <f t="shared" si="15"/>
        <v/>
      </c>
    </row>
    <row r="250" spans="6:23">
      <c r="F250" t="str">
        <f t="shared" si="12"/>
        <v/>
      </c>
      <c r="U250" t="str">
        <f t="shared" si="13"/>
        <v/>
      </c>
      <c r="V250" t="str">
        <f t="shared" si="14"/>
        <v/>
      </c>
      <c r="W250" t="str">
        <f t="shared" si="15"/>
        <v/>
      </c>
    </row>
    <row r="251" spans="6:23">
      <c r="F251" t="str">
        <f t="shared" si="12"/>
        <v/>
      </c>
      <c r="U251" t="str">
        <f t="shared" si="13"/>
        <v/>
      </c>
      <c r="V251" t="str">
        <f t="shared" si="14"/>
        <v/>
      </c>
      <c r="W251" t="str">
        <f t="shared" si="15"/>
        <v/>
      </c>
    </row>
    <row r="252" spans="6:23">
      <c r="F252" t="str">
        <f t="shared" si="12"/>
        <v/>
      </c>
      <c r="U252" t="str">
        <f t="shared" si="13"/>
        <v/>
      </c>
      <c r="V252" t="str">
        <f t="shared" si="14"/>
        <v/>
      </c>
      <c r="W252" t="str">
        <f t="shared" si="15"/>
        <v/>
      </c>
    </row>
    <row r="253" spans="6:23">
      <c r="F253" t="str">
        <f t="shared" si="12"/>
        <v/>
      </c>
      <c r="U253" t="str">
        <f t="shared" si="13"/>
        <v/>
      </c>
      <c r="V253" t="str">
        <f t="shared" si="14"/>
        <v/>
      </c>
      <c r="W253" t="str">
        <f t="shared" si="15"/>
        <v/>
      </c>
    </row>
    <row r="254" spans="6:23">
      <c r="F254" t="str">
        <f t="shared" si="12"/>
        <v/>
      </c>
      <c r="U254" t="str">
        <f t="shared" si="13"/>
        <v/>
      </c>
      <c r="V254" t="str">
        <f t="shared" si="14"/>
        <v/>
      </c>
      <c r="W254" t="str">
        <f t="shared" si="15"/>
        <v/>
      </c>
    </row>
    <row r="255" spans="6:23">
      <c r="F255" t="str">
        <f t="shared" si="12"/>
        <v/>
      </c>
      <c r="U255" t="str">
        <f t="shared" si="13"/>
        <v/>
      </c>
      <c r="V255" t="str">
        <f t="shared" si="14"/>
        <v/>
      </c>
      <c r="W255" t="str">
        <f t="shared" si="15"/>
        <v/>
      </c>
    </row>
    <row r="256" spans="6:23">
      <c r="F256" t="str">
        <f t="shared" si="12"/>
        <v/>
      </c>
      <c r="U256" t="str">
        <f t="shared" si="13"/>
        <v/>
      </c>
      <c r="V256" t="str">
        <f t="shared" si="14"/>
        <v/>
      </c>
      <c r="W256" t="str">
        <f t="shared" si="15"/>
        <v/>
      </c>
    </row>
    <row r="257" spans="6:23">
      <c r="F257" t="str">
        <f t="shared" si="12"/>
        <v/>
      </c>
      <c r="U257" t="str">
        <f t="shared" si="13"/>
        <v/>
      </c>
      <c r="V257" t="str">
        <f t="shared" si="14"/>
        <v/>
      </c>
      <c r="W257" t="str">
        <f t="shared" si="15"/>
        <v/>
      </c>
    </row>
    <row r="258" spans="6:23">
      <c r="F258" t="str">
        <f t="shared" ref="F258:F321" si="16">IF(E258="","",INT(E258/10)*10&amp;"s")</f>
        <v/>
      </c>
      <c r="U258" t="str">
        <f t="shared" ref="U258:U300" si="17">IF(B258="","",TEXT(B258,"yyyy-mm"))</f>
        <v/>
      </c>
      <c r="V258" t="str">
        <f t="shared" ref="V258:V300" si="18">IF(B258="","",YEAR(B258))</f>
        <v/>
      </c>
      <c r="W258" t="str">
        <f t="shared" ref="W258:W300" si="19">IF(B258="","",WEEKNUM(B258,2))</f>
        <v/>
      </c>
    </row>
    <row r="259" spans="6:23">
      <c r="F259" t="str">
        <f t="shared" si="16"/>
        <v/>
      </c>
      <c r="U259" t="str">
        <f t="shared" si="17"/>
        <v/>
      </c>
      <c r="V259" t="str">
        <f t="shared" si="18"/>
        <v/>
      </c>
      <c r="W259" t="str">
        <f t="shared" si="19"/>
        <v/>
      </c>
    </row>
    <row r="260" spans="6:23">
      <c r="F260" t="str">
        <f t="shared" si="16"/>
        <v/>
      </c>
      <c r="U260" t="str">
        <f t="shared" si="17"/>
        <v/>
      </c>
      <c r="V260" t="str">
        <f t="shared" si="18"/>
        <v/>
      </c>
      <c r="W260" t="str">
        <f t="shared" si="19"/>
        <v/>
      </c>
    </row>
    <row r="261" spans="6:23">
      <c r="F261" t="str">
        <f t="shared" si="16"/>
        <v/>
      </c>
      <c r="U261" t="str">
        <f t="shared" si="17"/>
        <v/>
      </c>
      <c r="V261" t="str">
        <f t="shared" si="18"/>
        <v/>
      </c>
      <c r="W261" t="str">
        <f t="shared" si="19"/>
        <v/>
      </c>
    </row>
    <row r="262" spans="6:23">
      <c r="F262" t="str">
        <f t="shared" si="16"/>
        <v/>
      </c>
      <c r="U262" t="str">
        <f t="shared" si="17"/>
        <v/>
      </c>
      <c r="V262" t="str">
        <f t="shared" si="18"/>
        <v/>
      </c>
      <c r="W262" t="str">
        <f t="shared" si="19"/>
        <v/>
      </c>
    </row>
    <row r="263" spans="6:23">
      <c r="F263" t="str">
        <f t="shared" si="16"/>
        <v/>
      </c>
      <c r="U263" t="str">
        <f t="shared" si="17"/>
        <v/>
      </c>
      <c r="V263" t="str">
        <f t="shared" si="18"/>
        <v/>
      </c>
      <c r="W263" t="str">
        <f t="shared" si="19"/>
        <v/>
      </c>
    </row>
    <row r="264" spans="6:23">
      <c r="F264" t="str">
        <f t="shared" si="16"/>
        <v/>
      </c>
      <c r="U264" t="str">
        <f t="shared" si="17"/>
        <v/>
      </c>
      <c r="V264" t="str">
        <f t="shared" si="18"/>
        <v/>
      </c>
      <c r="W264" t="str">
        <f t="shared" si="19"/>
        <v/>
      </c>
    </row>
    <row r="265" spans="6:23">
      <c r="F265" t="str">
        <f t="shared" si="16"/>
        <v/>
      </c>
      <c r="U265" t="str">
        <f t="shared" si="17"/>
        <v/>
      </c>
      <c r="V265" t="str">
        <f t="shared" si="18"/>
        <v/>
      </c>
      <c r="W265" t="str">
        <f t="shared" si="19"/>
        <v/>
      </c>
    </row>
    <row r="266" spans="6:23">
      <c r="F266" t="str">
        <f t="shared" si="16"/>
        <v/>
      </c>
      <c r="U266" t="str">
        <f t="shared" si="17"/>
        <v/>
      </c>
      <c r="V266" t="str">
        <f t="shared" si="18"/>
        <v/>
      </c>
      <c r="W266" t="str">
        <f t="shared" si="19"/>
        <v/>
      </c>
    </row>
    <row r="267" spans="6:23">
      <c r="F267" t="str">
        <f t="shared" si="16"/>
        <v/>
      </c>
      <c r="U267" t="str">
        <f t="shared" si="17"/>
        <v/>
      </c>
      <c r="V267" t="str">
        <f t="shared" si="18"/>
        <v/>
      </c>
      <c r="W267" t="str">
        <f t="shared" si="19"/>
        <v/>
      </c>
    </row>
    <row r="268" spans="6:23">
      <c r="F268" t="str">
        <f t="shared" si="16"/>
        <v/>
      </c>
      <c r="U268" t="str">
        <f t="shared" si="17"/>
        <v/>
      </c>
      <c r="V268" t="str">
        <f t="shared" si="18"/>
        <v/>
      </c>
      <c r="W268" t="str">
        <f t="shared" si="19"/>
        <v/>
      </c>
    </row>
    <row r="269" spans="6:23">
      <c r="F269" t="str">
        <f t="shared" si="16"/>
        <v/>
      </c>
      <c r="U269" t="str">
        <f t="shared" si="17"/>
        <v/>
      </c>
      <c r="V269" t="str">
        <f t="shared" si="18"/>
        <v/>
      </c>
      <c r="W269" t="str">
        <f t="shared" si="19"/>
        <v/>
      </c>
    </row>
    <row r="270" spans="6:23">
      <c r="F270" t="str">
        <f t="shared" si="16"/>
        <v/>
      </c>
      <c r="U270" t="str">
        <f t="shared" si="17"/>
        <v/>
      </c>
      <c r="V270" t="str">
        <f t="shared" si="18"/>
        <v/>
      </c>
      <c r="W270" t="str">
        <f t="shared" si="19"/>
        <v/>
      </c>
    </row>
    <row r="271" spans="6:23">
      <c r="F271" t="str">
        <f t="shared" si="16"/>
        <v/>
      </c>
      <c r="U271" t="str">
        <f t="shared" si="17"/>
        <v/>
      </c>
      <c r="V271" t="str">
        <f t="shared" si="18"/>
        <v/>
      </c>
      <c r="W271" t="str">
        <f t="shared" si="19"/>
        <v/>
      </c>
    </row>
    <row r="272" spans="6:23">
      <c r="F272" t="str">
        <f t="shared" si="16"/>
        <v/>
      </c>
      <c r="U272" t="str">
        <f t="shared" si="17"/>
        <v/>
      </c>
      <c r="V272" t="str">
        <f t="shared" si="18"/>
        <v/>
      </c>
      <c r="W272" t="str">
        <f t="shared" si="19"/>
        <v/>
      </c>
    </row>
    <row r="273" spans="6:23">
      <c r="F273" t="str">
        <f t="shared" si="16"/>
        <v/>
      </c>
      <c r="U273" t="str">
        <f t="shared" si="17"/>
        <v/>
      </c>
      <c r="V273" t="str">
        <f t="shared" si="18"/>
        <v/>
      </c>
      <c r="W273" t="str">
        <f t="shared" si="19"/>
        <v/>
      </c>
    </row>
    <row r="274" spans="6:23">
      <c r="F274" t="str">
        <f t="shared" si="16"/>
        <v/>
      </c>
      <c r="U274" t="str">
        <f t="shared" si="17"/>
        <v/>
      </c>
      <c r="V274" t="str">
        <f t="shared" si="18"/>
        <v/>
      </c>
      <c r="W274" t="str">
        <f t="shared" si="19"/>
        <v/>
      </c>
    </row>
    <row r="275" spans="6:23">
      <c r="F275" t="str">
        <f t="shared" si="16"/>
        <v/>
      </c>
      <c r="U275" t="str">
        <f t="shared" si="17"/>
        <v/>
      </c>
      <c r="V275" t="str">
        <f t="shared" si="18"/>
        <v/>
      </c>
      <c r="W275" t="str">
        <f t="shared" si="19"/>
        <v/>
      </c>
    </row>
    <row r="276" spans="6:23">
      <c r="F276" t="str">
        <f t="shared" si="16"/>
        <v/>
      </c>
      <c r="U276" t="str">
        <f t="shared" si="17"/>
        <v/>
      </c>
      <c r="V276" t="str">
        <f t="shared" si="18"/>
        <v/>
      </c>
      <c r="W276" t="str">
        <f t="shared" si="19"/>
        <v/>
      </c>
    </row>
    <row r="277" spans="6:23">
      <c r="F277" t="str">
        <f t="shared" si="16"/>
        <v/>
      </c>
      <c r="U277" t="str">
        <f t="shared" si="17"/>
        <v/>
      </c>
      <c r="V277" t="str">
        <f t="shared" si="18"/>
        <v/>
      </c>
      <c r="W277" t="str">
        <f t="shared" si="19"/>
        <v/>
      </c>
    </row>
    <row r="278" spans="6:23">
      <c r="F278" t="str">
        <f t="shared" si="16"/>
        <v/>
      </c>
      <c r="U278" t="str">
        <f t="shared" si="17"/>
        <v/>
      </c>
      <c r="V278" t="str">
        <f t="shared" si="18"/>
        <v/>
      </c>
      <c r="W278" t="str">
        <f t="shared" si="19"/>
        <v/>
      </c>
    </row>
    <row r="279" spans="6:23">
      <c r="F279" t="str">
        <f t="shared" si="16"/>
        <v/>
      </c>
      <c r="U279" t="str">
        <f t="shared" si="17"/>
        <v/>
      </c>
      <c r="V279" t="str">
        <f t="shared" si="18"/>
        <v/>
      </c>
      <c r="W279" t="str">
        <f t="shared" si="19"/>
        <v/>
      </c>
    </row>
    <row r="280" spans="6:23">
      <c r="F280" t="str">
        <f t="shared" si="16"/>
        <v/>
      </c>
      <c r="U280" t="str">
        <f t="shared" si="17"/>
        <v/>
      </c>
      <c r="V280" t="str">
        <f t="shared" si="18"/>
        <v/>
      </c>
      <c r="W280" t="str">
        <f t="shared" si="19"/>
        <v/>
      </c>
    </row>
    <row r="281" spans="6:23">
      <c r="F281" t="str">
        <f t="shared" si="16"/>
        <v/>
      </c>
      <c r="U281" t="str">
        <f t="shared" si="17"/>
        <v/>
      </c>
      <c r="V281" t="str">
        <f t="shared" si="18"/>
        <v/>
      </c>
      <c r="W281" t="str">
        <f t="shared" si="19"/>
        <v/>
      </c>
    </row>
    <row r="282" spans="6:23">
      <c r="F282" t="str">
        <f t="shared" si="16"/>
        <v/>
      </c>
      <c r="U282" t="str">
        <f t="shared" si="17"/>
        <v/>
      </c>
      <c r="V282" t="str">
        <f t="shared" si="18"/>
        <v/>
      </c>
      <c r="W282" t="str">
        <f t="shared" si="19"/>
        <v/>
      </c>
    </row>
    <row r="283" spans="6:23">
      <c r="F283" t="str">
        <f t="shared" si="16"/>
        <v/>
      </c>
      <c r="U283" t="str">
        <f t="shared" si="17"/>
        <v/>
      </c>
      <c r="V283" t="str">
        <f t="shared" si="18"/>
        <v/>
      </c>
      <c r="W283" t="str">
        <f t="shared" si="19"/>
        <v/>
      </c>
    </row>
    <row r="284" spans="6:23">
      <c r="F284" t="str">
        <f t="shared" si="16"/>
        <v/>
      </c>
      <c r="U284" t="str">
        <f t="shared" si="17"/>
        <v/>
      </c>
      <c r="V284" t="str">
        <f t="shared" si="18"/>
        <v/>
      </c>
      <c r="W284" t="str">
        <f t="shared" si="19"/>
        <v/>
      </c>
    </row>
    <row r="285" spans="6:23">
      <c r="F285" t="str">
        <f t="shared" si="16"/>
        <v/>
      </c>
      <c r="U285" t="str">
        <f t="shared" si="17"/>
        <v/>
      </c>
      <c r="V285" t="str">
        <f t="shared" si="18"/>
        <v/>
      </c>
      <c r="W285" t="str">
        <f t="shared" si="19"/>
        <v/>
      </c>
    </row>
    <row r="286" spans="6:23">
      <c r="F286" t="str">
        <f t="shared" si="16"/>
        <v/>
      </c>
      <c r="U286" t="str">
        <f t="shared" si="17"/>
        <v/>
      </c>
      <c r="V286" t="str">
        <f t="shared" si="18"/>
        <v/>
      </c>
      <c r="W286" t="str">
        <f t="shared" si="19"/>
        <v/>
      </c>
    </row>
    <row r="287" spans="6:23">
      <c r="F287" t="str">
        <f t="shared" si="16"/>
        <v/>
      </c>
      <c r="U287" t="str">
        <f t="shared" si="17"/>
        <v/>
      </c>
      <c r="V287" t="str">
        <f t="shared" si="18"/>
        <v/>
      </c>
      <c r="W287" t="str">
        <f t="shared" si="19"/>
        <v/>
      </c>
    </row>
    <row r="288" spans="6:23">
      <c r="F288" t="str">
        <f t="shared" si="16"/>
        <v/>
      </c>
      <c r="U288" t="str">
        <f t="shared" si="17"/>
        <v/>
      </c>
      <c r="V288" t="str">
        <f t="shared" si="18"/>
        <v/>
      </c>
      <c r="W288" t="str">
        <f t="shared" si="19"/>
        <v/>
      </c>
    </row>
    <row r="289" spans="6:23">
      <c r="F289" t="str">
        <f t="shared" si="16"/>
        <v/>
      </c>
      <c r="U289" t="str">
        <f t="shared" si="17"/>
        <v/>
      </c>
      <c r="V289" t="str">
        <f t="shared" si="18"/>
        <v/>
      </c>
      <c r="W289" t="str">
        <f t="shared" si="19"/>
        <v/>
      </c>
    </row>
    <row r="290" spans="6:23">
      <c r="F290" t="str">
        <f t="shared" si="16"/>
        <v/>
      </c>
      <c r="U290" t="str">
        <f t="shared" si="17"/>
        <v/>
      </c>
      <c r="V290" t="str">
        <f t="shared" si="18"/>
        <v/>
      </c>
      <c r="W290" t="str">
        <f t="shared" si="19"/>
        <v/>
      </c>
    </row>
    <row r="291" spans="6:23">
      <c r="F291" t="str">
        <f t="shared" si="16"/>
        <v/>
      </c>
      <c r="U291" t="str">
        <f t="shared" si="17"/>
        <v/>
      </c>
      <c r="V291" t="str">
        <f t="shared" si="18"/>
        <v/>
      </c>
      <c r="W291" t="str">
        <f t="shared" si="19"/>
        <v/>
      </c>
    </row>
    <row r="292" spans="6:23">
      <c r="F292" t="str">
        <f t="shared" si="16"/>
        <v/>
      </c>
      <c r="U292" t="str">
        <f t="shared" si="17"/>
        <v/>
      </c>
      <c r="V292" t="str">
        <f t="shared" si="18"/>
        <v/>
      </c>
      <c r="W292" t="str">
        <f t="shared" si="19"/>
        <v/>
      </c>
    </row>
    <row r="293" spans="6:23">
      <c r="F293" t="str">
        <f t="shared" si="16"/>
        <v/>
      </c>
      <c r="U293" t="str">
        <f t="shared" si="17"/>
        <v/>
      </c>
      <c r="V293" t="str">
        <f t="shared" si="18"/>
        <v/>
      </c>
      <c r="W293" t="str">
        <f t="shared" si="19"/>
        <v/>
      </c>
    </row>
    <row r="294" spans="6:23">
      <c r="F294" t="str">
        <f t="shared" si="16"/>
        <v/>
      </c>
      <c r="U294" t="str">
        <f t="shared" si="17"/>
        <v/>
      </c>
      <c r="V294" t="str">
        <f t="shared" si="18"/>
        <v/>
      </c>
      <c r="W294" t="str">
        <f t="shared" si="19"/>
        <v/>
      </c>
    </row>
    <row r="295" spans="6:23">
      <c r="F295" t="str">
        <f t="shared" si="16"/>
        <v/>
      </c>
      <c r="U295" t="str">
        <f t="shared" si="17"/>
        <v/>
      </c>
      <c r="V295" t="str">
        <f t="shared" si="18"/>
        <v/>
      </c>
      <c r="W295" t="str">
        <f t="shared" si="19"/>
        <v/>
      </c>
    </row>
    <row r="296" spans="6:23">
      <c r="F296" t="str">
        <f t="shared" si="16"/>
        <v/>
      </c>
      <c r="U296" t="str">
        <f t="shared" si="17"/>
        <v/>
      </c>
      <c r="V296" t="str">
        <f t="shared" si="18"/>
        <v/>
      </c>
      <c r="W296" t="str">
        <f t="shared" si="19"/>
        <v/>
      </c>
    </row>
    <row r="297" spans="6:23">
      <c r="F297" t="str">
        <f t="shared" si="16"/>
        <v/>
      </c>
      <c r="U297" t="str">
        <f t="shared" si="17"/>
        <v/>
      </c>
      <c r="V297" t="str">
        <f t="shared" si="18"/>
        <v/>
      </c>
      <c r="W297" t="str">
        <f t="shared" si="19"/>
        <v/>
      </c>
    </row>
    <row r="298" spans="6:23">
      <c r="F298" t="str">
        <f t="shared" si="16"/>
        <v/>
      </c>
      <c r="U298" t="str">
        <f t="shared" si="17"/>
        <v/>
      </c>
      <c r="V298" t="str">
        <f t="shared" si="18"/>
        <v/>
      </c>
      <c r="W298" t="str">
        <f t="shared" si="19"/>
        <v/>
      </c>
    </row>
    <row r="299" spans="6:23">
      <c r="F299" t="str">
        <f t="shared" si="16"/>
        <v/>
      </c>
      <c r="U299" t="str">
        <f t="shared" si="17"/>
        <v/>
      </c>
      <c r="V299" t="str">
        <f t="shared" si="18"/>
        <v/>
      </c>
      <c r="W299" t="str">
        <f t="shared" si="19"/>
        <v/>
      </c>
    </row>
    <row r="300" spans="6:23">
      <c r="F300" t="str">
        <f t="shared" si="16"/>
        <v/>
      </c>
      <c r="U300" t="str">
        <f t="shared" si="17"/>
        <v/>
      </c>
      <c r="V300" t="str">
        <f t="shared" si="18"/>
        <v/>
      </c>
      <c r="W300" t="str">
        <f t="shared" si="19"/>
        <v/>
      </c>
    </row>
  </sheetData>
  <conditionalFormatting sqref="O2:O30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S2:S300">
    <cfRule type="expression" dxfId="0" priority="2">
      <formula>S2="Sim"</formula>
    </cfRule>
  </conditionalFormatting>
  <dataValidations count="1">
    <dataValidation type="decimal" sqref="O2:O300" xr:uid="{00000000-0002-0000-0000-000008000000}">
      <formula1>0</formula1>
      <formula2>10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0000000}">
          <x14:formula1>
            <xm:f>Listas!$A$2:$A$21</xm:f>
          </x14:formula1>
          <xm:sqref>G2:G300</xm:sqref>
        </x14:dataValidation>
        <x14:dataValidation type="list" xr:uid="{00000000-0002-0000-0000-000001000000}">
          <x14:formula1>
            <xm:f>Listas!$B$2:$B$9</xm:f>
          </x14:formula1>
          <xm:sqref>J2:J300</xm:sqref>
        </x14:dataValidation>
        <x14:dataValidation type="list" xr:uid="{00000000-0002-0000-0000-000002000000}">
          <x14:formula1>
            <xm:f>Listas!$C$2:$C$9</xm:f>
          </x14:formula1>
          <xm:sqref>K2:K300</xm:sqref>
        </x14:dataValidation>
        <x14:dataValidation type="list" xr:uid="{00000000-0002-0000-0000-000003000000}">
          <x14:formula1>
            <xm:f>Listas!$D$2:$D$9</xm:f>
          </x14:formula1>
          <xm:sqref>L2:L300</xm:sqref>
        </x14:dataValidation>
        <x14:dataValidation type="list" xr:uid="{00000000-0002-0000-0000-000004000000}">
          <x14:formula1>
            <xm:f>Listas!$E$2:$E$10</xm:f>
          </x14:formula1>
          <xm:sqref>P2:P300</xm:sqref>
        </x14:dataValidation>
        <x14:dataValidation type="list" xr:uid="{00000000-0002-0000-0000-000005000000}">
          <x14:formula1>
            <xm:f>Listas!$F$2:$F$8</xm:f>
          </x14:formula1>
          <xm:sqref>Q2:Q300</xm:sqref>
        </x14:dataValidation>
        <x14:dataValidation type="list" xr:uid="{00000000-0002-0000-0000-000006000000}">
          <x14:formula1>
            <xm:f>Listas!$G$2:$G$8</xm:f>
          </x14:formula1>
          <xm:sqref>R2:R300</xm:sqref>
        </x14:dataValidation>
        <x14:dataValidation type="list" xr:uid="{00000000-0002-0000-0000-000007000000}">
          <x14:formula1>
            <xm:f>Listas!$H$2:$H$3</xm:f>
          </x14:formula1>
          <xm:sqref>S2:T300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0"/>
  <sheetViews>
    <sheetView workbookViewId="0">
      <selection activeCell="A3" sqref="A3:N6"/>
    </sheetView>
  </sheetViews>
  <sheetFormatPr defaultRowHeight="14.25"/>
  <cols>
    <col min="1" max="1" width="32" customWidth="1"/>
    <col min="2" max="2" width="28" customWidth="1"/>
    <col min="3" max="13" width="18" customWidth="1"/>
    <col min="14" max="14" width="36" customWidth="1"/>
  </cols>
  <sheetData>
    <row r="1" spans="1:26" ht="15">
      <c r="A1" s="1" t="s">
        <v>2</v>
      </c>
      <c r="B1" s="1" t="s">
        <v>3</v>
      </c>
      <c r="C1" s="1" t="s">
        <v>4</v>
      </c>
      <c r="D1" s="1" t="s">
        <v>5</v>
      </c>
      <c r="E1" s="1" t="s">
        <v>72</v>
      </c>
      <c r="F1" s="1" t="s">
        <v>7</v>
      </c>
      <c r="G1" s="1" t="s">
        <v>8</v>
      </c>
      <c r="H1" s="1" t="s">
        <v>73</v>
      </c>
      <c r="I1" s="1" t="s">
        <v>74</v>
      </c>
      <c r="J1" s="1" t="s">
        <v>13</v>
      </c>
      <c r="K1" s="1" t="s">
        <v>75</v>
      </c>
      <c r="L1" s="1" t="s">
        <v>76</v>
      </c>
      <c r="M1" s="1" t="s">
        <v>77</v>
      </c>
      <c r="N1" s="1" t="s">
        <v>23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 t="s">
        <v>24</v>
      </c>
      <c r="B2" s="8" t="s">
        <v>25</v>
      </c>
      <c r="C2" s="8">
        <v>1973</v>
      </c>
      <c r="D2" s="8" t="str">
        <f>INT(C2/10)*10&amp;"s"</f>
        <v>1970s</v>
      </c>
      <c r="E2" s="8" t="s">
        <v>26</v>
      </c>
      <c r="F2" s="8" t="s">
        <v>27</v>
      </c>
      <c r="G2" s="8" t="s">
        <v>28</v>
      </c>
      <c r="H2" s="8" t="s">
        <v>78</v>
      </c>
      <c r="I2" s="8">
        <v>10</v>
      </c>
      <c r="J2" s="8">
        <v>43</v>
      </c>
      <c r="K2" s="8" t="s">
        <v>35</v>
      </c>
      <c r="L2" s="8" t="s">
        <v>29</v>
      </c>
      <c r="M2" s="8" t="s">
        <v>79</v>
      </c>
      <c r="N2" s="8" t="s">
        <v>36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"/>
      <c r="B7" s="8"/>
      <c r="C7" s="8"/>
      <c r="D7" s="8" t="str">
        <f t="shared" ref="D7:D70" si="0">IF(C7="","",INT(C7/10)*10&amp;"s")</f>
        <v/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8"/>
      <c r="B8" s="8"/>
      <c r="C8" s="8"/>
      <c r="D8" s="8" t="str">
        <f t="shared" si="0"/>
        <v/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/>
      <c r="B9" s="8"/>
      <c r="C9" s="8"/>
      <c r="D9" s="8" t="str">
        <f t="shared" si="0"/>
        <v/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/>
      <c r="B10" s="8"/>
      <c r="C10" s="8"/>
      <c r="D10" s="8" t="str">
        <f t="shared" si="0"/>
        <v/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/>
      <c r="B11" s="8"/>
      <c r="C11" s="8"/>
      <c r="D11" s="8" t="str">
        <f t="shared" si="0"/>
        <v/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 t="str">
        <f t="shared" si="0"/>
        <v/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 t="str">
        <f t="shared" si="0"/>
        <v/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 t="str">
        <f t="shared" si="0"/>
        <v/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 t="str">
        <f t="shared" si="0"/>
        <v/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 t="str">
        <f t="shared" si="0"/>
        <v/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 t="str">
        <f t="shared" si="0"/>
        <v/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 t="str">
        <f t="shared" si="0"/>
        <v/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 t="str">
        <f t="shared" si="0"/>
        <v/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/>
      <c r="B20" s="8"/>
      <c r="C20" s="8"/>
      <c r="D20" s="8" t="str">
        <f t="shared" si="0"/>
        <v/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/>
      <c r="B21" s="8"/>
      <c r="C21" s="8"/>
      <c r="D21" s="8" t="str">
        <f t="shared" si="0"/>
        <v/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 t="str">
        <f t="shared" si="0"/>
        <v/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 t="str">
        <f t="shared" si="0"/>
        <v/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 t="str">
        <f t="shared" si="0"/>
        <v/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 t="str">
        <f t="shared" si="0"/>
        <v/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 t="str">
        <f t="shared" si="0"/>
        <v/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 t="str">
        <f t="shared" si="0"/>
        <v/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 t="str">
        <f t="shared" si="0"/>
        <v/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 t="str">
        <f t="shared" si="0"/>
        <v/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 t="str">
        <f t="shared" si="0"/>
        <v/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 t="str">
        <f t="shared" si="0"/>
        <v/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 t="str">
        <f t="shared" si="0"/>
        <v/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 t="str">
        <f t="shared" si="0"/>
        <v/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 t="str">
        <f t="shared" si="0"/>
        <v/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 t="str">
        <f t="shared" si="0"/>
        <v/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 t="str">
        <f t="shared" si="0"/>
        <v/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 t="str">
        <f t="shared" si="0"/>
        <v/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 t="str">
        <f t="shared" si="0"/>
        <v/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 t="str">
        <f t="shared" si="0"/>
        <v/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 t="str">
        <f t="shared" si="0"/>
        <v/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 t="str">
        <f t="shared" si="0"/>
        <v/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 t="str">
        <f t="shared" si="0"/>
        <v/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 t="str">
        <f t="shared" si="0"/>
        <v/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 t="str">
        <f t="shared" si="0"/>
        <v/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 t="str">
        <f t="shared" si="0"/>
        <v/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 t="str">
        <f t="shared" si="0"/>
        <v/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 t="str">
        <f t="shared" si="0"/>
        <v/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 t="str">
        <f t="shared" si="0"/>
        <v/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 t="str">
        <f t="shared" si="0"/>
        <v/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 t="str">
        <f t="shared" si="0"/>
        <v/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 t="str">
        <f t="shared" si="0"/>
        <v/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 t="str">
        <f t="shared" si="0"/>
        <v/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 t="str">
        <f t="shared" si="0"/>
        <v/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 t="str">
        <f t="shared" si="0"/>
        <v/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 t="str">
        <f t="shared" si="0"/>
        <v/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 t="str">
        <f t="shared" si="0"/>
        <v/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 t="str">
        <f t="shared" si="0"/>
        <v/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 t="str">
        <f t="shared" si="0"/>
        <v/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 t="str">
        <f t="shared" si="0"/>
        <v/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 t="str">
        <f t="shared" si="0"/>
        <v/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D61" t="str">
        <f t="shared" si="0"/>
        <v/>
      </c>
    </row>
    <row r="62" spans="1:26">
      <c r="D62" t="str">
        <f t="shared" si="0"/>
        <v/>
      </c>
    </row>
    <row r="63" spans="1:26">
      <c r="D63" t="str">
        <f t="shared" si="0"/>
        <v/>
      </c>
    </row>
    <row r="64" spans="1:26">
      <c r="D64" t="str">
        <f t="shared" si="0"/>
        <v/>
      </c>
    </row>
    <row r="65" spans="4:4">
      <c r="D65" t="str">
        <f t="shared" si="0"/>
        <v/>
      </c>
    </row>
    <row r="66" spans="4:4">
      <c r="D66" t="str">
        <f t="shared" si="0"/>
        <v/>
      </c>
    </row>
    <row r="67" spans="4:4">
      <c r="D67" t="str">
        <f t="shared" si="0"/>
        <v/>
      </c>
    </row>
    <row r="68" spans="4:4">
      <c r="D68" t="str">
        <f t="shared" si="0"/>
        <v/>
      </c>
    </row>
    <row r="69" spans="4:4">
      <c r="D69" t="str">
        <f t="shared" si="0"/>
        <v/>
      </c>
    </row>
    <row r="70" spans="4:4">
      <c r="D70" t="str">
        <f t="shared" si="0"/>
        <v/>
      </c>
    </row>
    <row r="71" spans="4:4">
      <c r="D71" t="str">
        <f t="shared" ref="D71:D134" si="1">IF(C71="","",INT(C71/10)*10&amp;"s")</f>
        <v/>
      </c>
    </row>
    <row r="72" spans="4:4">
      <c r="D72" t="str">
        <f t="shared" si="1"/>
        <v/>
      </c>
    </row>
    <row r="73" spans="4:4">
      <c r="D73" t="str">
        <f t="shared" si="1"/>
        <v/>
      </c>
    </row>
    <row r="74" spans="4:4">
      <c r="D74" t="str">
        <f t="shared" si="1"/>
        <v/>
      </c>
    </row>
    <row r="75" spans="4:4">
      <c r="D75" t="str">
        <f t="shared" si="1"/>
        <v/>
      </c>
    </row>
    <row r="76" spans="4:4">
      <c r="D76" t="str">
        <f t="shared" si="1"/>
        <v/>
      </c>
    </row>
    <row r="77" spans="4:4">
      <c r="D77" t="str">
        <f t="shared" si="1"/>
        <v/>
      </c>
    </row>
    <row r="78" spans="4:4">
      <c r="D78" t="str">
        <f t="shared" si="1"/>
        <v/>
      </c>
    </row>
    <row r="79" spans="4:4">
      <c r="D79" t="str">
        <f t="shared" si="1"/>
        <v/>
      </c>
    </row>
    <row r="80" spans="4:4">
      <c r="D80" t="str">
        <f t="shared" si="1"/>
        <v/>
      </c>
    </row>
    <row r="81" spans="4:4">
      <c r="D81" t="str">
        <f t="shared" si="1"/>
        <v/>
      </c>
    </row>
    <row r="82" spans="4:4">
      <c r="D82" t="str">
        <f t="shared" si="1"/>
        <v/>
      </c>
    </row>
    <row r="83" spans="4:4">
      <c r="D83" t="str">
        <f t="shared" si="1"/>
        <v/>
      </c>
    </row>
    <row r="84" spans="4:4">
      <c r="D84" t="str">
        <f t="shared" si="1"/>
        <v/>
      </c>
    </row>
    <row r="85" spans="4:4">
      <c r="D85" t="str">
        <f t="shared" si="1"/>
        <v/>
      </c>
    </row>
    <row r="86" spans="4:4">
      <c r="D86" t="str">
        <f t="shared" si="1"/>
        <v/>
      </c>
    </row>
    <row r="87" spans="4:4">
      <c r="D87" t="str">
        <f t="shared" si="1"/>
        <v/>
      </c>
    </row>
    <row r="88" spans="4:4">
      <c r="D88" t="str">
        <f t="shared" si="1"/>
        <v/>
      </c>
    </row>
    <row r="89" spans="4:4">
      <c r="D89" t="str">
        <f t="shared" si="1"/>
        <v/>
      </c>
    </row>
    <row r="90" spans="4:4">
      <c r="D90" t="str">
        <f t="shared" si="1"/>
        <v/>
      </c>
    </row>
    <row r="91" spans="4:4">
      <c r="D91" t="str">
        <f t="shared" si="1"/>
        <v/>
      </c>
    </row>
    <row r="92" spans="4:4">
      <c r="D92" t="str">
        <f t="shared" si="1"/>
        <v/>
      </c>
    </row>
    <row r="93" spans="4:4">
      <c r="D93" t="str">
        <f t="shared" si="1"/>
        <v/>
      </c>
    </row>
    <row r="94" spans="4:4">
      <c r="D94" t="str">
        <f t="shared" si="1"/>
        <v/>
      </c>
    </row>
    <row r="95" spans="4:4">
      <c r="D95" t="str">
        <f t="shared" si="1"/>
        <v/>
      </c>
    </row>
    <row r="96" spans="4:4">
      <c r="D96" t="str">
        <f t="shared" si="1"/>
        <v/>
      </c>
    </row>
    <row r="97" spans="4:4">
      <c r="D97" t="str">
        <f t="shared" si="1"/>
        <v/>
      </c>
    </row>
    <row r="98" spans="4:4">
      <c r="D98" t="str">
        <f t="shared" si="1"/>
        <v/>
      </c>
    </row>
    <row r="99" spans="4:4">
      <c r="D99" t="str">
        <f t="shared" si="1"/>
        <v/>
      </c>
    </row>
    <row r="100" spans="4:4">
      <c r="D100" t="str">
        <f t="shared" si="1"/>
        <v/>
      </c>
    </row>
    <row r="101" spans="4:4">
      <c r="D101" t="str">
        <f t="shared" si="1"/>
        <v/>
      </c>
    </row>
    <row r="102" spans="4:4">
      <c r="D102" t="str">
        <f t="shared" si="1"/>
        <v/>
      </c>
    </row>
    <row r="103" spans="4:4">
      <c r="D103" t="str">
        <f t="shared" si="1"/>
        <v/>
      </c>
    </row>
    <row r="104" spans="4:4">
      <c r="D104" t="str">
        <f t="shared" si="1"/>
        <v/>
      </c>
    </row>
    <row r="105" spans="4:4">
      <c r="D105" t="str">
        <f t="shared" si="1"/>
        <v/>
      </c>
    </row>
    <row r="106" spans="4:4">
      <c r="D106" t="str">
        <f t="shared" si="1"/>
        <v/>
      </c>
    </row>
    <row r="107" spans="4:4">
      <c r="D107" t="str">
        <f t="shared" si="1"/>
        <v/>
      </c>
    </row>
    <row r="108" spans="4:4">
      <c r="D108" t="str">
        <f t="shared" si="1"/>
        <v/>
      </c>
    </row>
    <row r="109" spans="4:4">
      <c r="D109" t="str">
        <f t="shared" si="1"/>
        <v/>
      </c>
    </row>
    <row r="110" spans="4:4">
      <c r="D110" t="str">
        <f t="shared" si="1"/>
        <v/>
      </c>
    </row>
    <row r="111" spans="4:4">
      <c r="D111" t="str">
        <f t="shared" si="1"/>
        <v/>
      </c>
    </row>
    <row r="112" spans="4:4">
      <c r="D112" t="str">
        <f t="shared" si="1"/>
        <v/>
      </c>
    </row>
    <row r="113" spans="4:4">
      <c r="D113" t="str">
        <f t="shared" si="1"/>
        <v/>
      </c>
    </row>
    <row r="114" spans="4:4">
      <c r="D114" t="str">
        <f t="shared" si="1"/>
        <v/>
      </c>
    </row>
    <row r="115" spans="4:4">
      <c r="D115" t="str">
        <f t="shared" si="1"/>
        <v/>
      </c>
    </row>
    <row r="116" spans="4:4">
      <c r="D116" t="str">
        <f t="shared" si="1"/>
        <v/>
      </c>
    </row>
    <row r="117" spans="4:4">
      <c r="D117" t="str">
        <f t="shared" si="1"/>
        <v/>
      </c>
    </row>
    <row r="118" spans="4:4">
      <c r="D118" t="str">
        <f t="shared" si="1"/>
        <v/>
      </c>
    </row>
    <row r="119" spans="4:4">
      <c r="D119" t="str">
        <f t="shared" si="1"/>
        <v/>
      </c>
    </row>
    <row r="120" spans="4:4">
      <c r="D120" t="str">
        <f t="shared" si="1"/>
        <v/>
      </c>
    </row>
    <row r="121" spans="4:4">
      <c r="D121" t="str">
        <f t="shared" si="1"/>
        <v/>
      </c>
    </row>
    <row r="122" spans="4:4">
      <c r="D122" t="str">
        <f t="shared" si="1"/>
        <v/>
      </c>
    </row>
    <row r="123" spans="4:4">
      <c r="D123" t="str">
        <f t="shared" si="1"/>
        <v/>
      </c>
    </row>
    <row r="124" spans="4:4">
      <c r="D124" t="str">
        <f t="shared" si="1"/>
        <v/>
      </c>
    </row>
    <row r="125" spans="4:4">
      <c r="D125" t="str">
        <f t="shared" si="1"/>
        <v/>
      </c>
    </row>
    <row r="126" spans="4:4">
      <c r="D126" t="str">
        <f t="shared" si="1"/>
        <v/>
      </c>
    </row>
    <row r="127" spans="4:4">
      <c r="D127" t="str">
        <f t="shared" si="1"/>
        <v/>
      </c>
    </row>
    <row r="128" spans="4:4">
      <c r="D128" t="str">
        <f t="shared" si="1"/>
        <v/>
      </c>
    </row>
    <row r="129" spans="4:4">
      <c r="D129" t="str">
        <f t="shared" si="1"/>
        <v/>
      </c>
    </row>
    <row r="130" spans="4:4">
      <c r="D130" t="str">
        <f t="shared" si="1"/>
        <v/>
      </c>
    </row>
    <row r="131" spans="4:4">
      <c r="D131" t="str">
        <f t="shared" si="1"/>
        <v/>
      </c>
    </row>
    <row r="132" spans="4:4">
      <c r="D132" t="str">
        <f t="shared" si="1"/>
        <v/>
      </c>
    </row>
    <row r="133" spans="4:4">
      <c r="D133" t="str">
        <f t="shared" si="1"/>
        <v/>
      </c>
    </row>
    <row r="134" spans="4:4">
      <c r="D134" t="str">
        <f t="shared" si="1"/>
        <v/>
      </c>
    </row>
    <row r="135" spans="4:4">
      <c r="D135" t="str">
        <f t="shared" ref="D135:D198" si="2">IF(C135="","",INT(C135/10)*10&amp;"s")</f>
        <v/>
      </c>
    </row>
    <row r="136" spans="4:4">
      <c r="D136" t="str">
        <f t="shared" si="2"/>
        <v/>
      </c>
    </row>
    <row r="137" spans="4:4">
      <c r="D137" t="str">
        <f t="shared" si="2"/>
        <v/>
      </c>
    </row>
    <row r="138" spans="4:4">
      <c r="D138" t="str">
        <f t="shared" si="2"/>
        <v/>
      </c>
    </row>
    <row r="139" spans="4:4">
      <c r="D139" t="str">
        <f t="shared" si="2"/>
        <v/>
      </c>
    </row>
    <row r="140" spans="4:4">
      <c r="D140" t="str">
        <f t="shared" si="2"/>
        <v/>
      </c>
    </row>
    <row r="141" spans="4:4">
      <c r="D141" t="str">
        <f t="shared" si="2"/>
        <v/>
      </c>
    </row>
    <row r="142" spans="4:4">
      <c r="D142" t="str">
        <f t="shared" si="2"/>
        <v/>
      </c>
    </row>
    <row r="143" spans="4:4">
      <c r="D143" t="str">
        <f t="shared" si="2"/>
        <v/>
      </c>
    </row>
    <row r="144" spans="4:4">
      <c r="D144" t="str">
        <f t="shared" si="2"/>
        <v/>
      </c>
    </row>
    <row r="145" spans="4:4">
      <c r="D145" t="str">
        <f t="shared" si="2"/>
        <v/>
      </c>
    </row>
    <row r="146" spans="4:4">
      <c r="D146" t="str">
        <f t="shared" si="2"/>
        <v/>
      </c>
    </row>
    <row r="147" spans="4:4">
      <c r="D147" t="str">
        <f t="shared" si="2"/>
        <v/>
      </c>
    </row>
    <row r="148" spans="4:4">
      <c r="D148" t="str">
        <f t="shared" si="2"/>
        <v/>
      </c>
    </row>
    <row r="149" spans="4:4">
      <c r="D149" t="str">
        <f t="shared" si="2"/>
        <v/>
      </c>
    </row>
    <row r="150" spans="4:4">
      <c r="D150" t="str">
        <f t="shared" si="2"/>
        <v/>
      </c>
    </row>
    <row r="151" spans="4:4">
      <c r="D151" t="str">
        <f t="shared" si="2"/>
        <v/>
      </c>
    </row>
    <row r="152" spans="4:4">
      <c r="D152" t="str">
        <f t="shared" si="2"/>
        <v/>
      </c>
    </row>
    <row r="153" spans="4:4">
      <c r="D153" t="str">
        <f t="shared" si="2"/>
        <v/>
      </c>
    </row>
    <row r="154" spans="4:4">
      <c r="D154" t="str">
        <f t="shared" si="2"/>
        <v/>
      </c>
    </row>
    <row r="155" spans="4:4">
      <c r="D155" t="str">
        <f t="shared" si="2"/>
        <v/>
      </c>
    </row>
    <row r="156" spans="4:4">
      <c r="D156" t="str">
        <f t="shared" si="2"/>
        <v/>
      </c>
    </row>
    <row r="157" spans="4:4">
      <c r="D157" t="str">
        <f t="shared" si="2"/>
        <v/>
      </c>
    </row>
    <row r="158" spans="4:4">
      <c r="D158" t="str">
        <f t="shared" si="2"/>
        <v/>
      </c>
    </row>
    <row r="159" spans="4:4">
      <c r="D159" t="str">
        <f t="shared" si="2"/>
        <v/>
      </c>
    </row>
    <row r="160" spans="4:4">
      <c r="D160" t="str">
        <f t="shared" si="2"/>
        <v/>
      </c>
    </row>
    <row r="161" spans="4:4">
      <c r="D161" t="str">
        <f t="shared" si="2"/>
        <v/>
      </c>
    </row>
    <row r="162" spans="4:4">
      <c r="D162" t="str">
        <f t="shared" si="2"/>
        <v/>
      </c>
    </row>
    <row r="163" spans="4:4">
      <c r="D163" t="str">
        <f t="shared" si="2"/>
        <v/>
      </c>
    </row>
    <row r="164" spans="4:4">
      <c r="D164" t="str">
        <f t="shared" si="2"/>
        <v/>
      </c>
    </row>
    <row r="165" spans="4:4">
      <c r="D165" t="str">
        <f t="shared" si="2"/>
        <v/>
      </c>
    </row>
    <row r="166" spans="4:4">
      <c r="D166" t="str">
        <f t="shared" si="2"/>
        <v/>
      </c>
    </row>
    <row r="167" spans="4:4">
      <c r="D167" t="str">
        <f t="shared" si="2"/>
        <v/>
      </c>
    </row>
    <row r="168" spans="4:4">
      <c r="D168" t="str">
        <f t="shared" si="2"/>
        <v/>
      </c>
    </row>
    <row r="169" spans="4:4">
      <c r="D169" t="str">
        <f t="shared" si="2"/>
        <v/>
      </c>
    </row>
    <row r="170" spans="4:4">
      <c r="D170" t="str">
        <f t="shared" si="2"/>
        <v/>
      </c>
    </row>
    <row r="171" spans="4:4">
      <c r="D171" t="str">
        <f t="shared" si="2"/>
        <v/>
      </c>
    </row>
    <row r="172" spans="4:4">
      <c r="D172" t="str">
        <f t="shared" si="2"/>
        <v/>
      </c>
    </row>
    <row r="173" spans="4:4">
      <c r="D173" t="str">
        <f t="shared" si="2"/>
        <v/>
      </c>
    </row>
    <row r="174" spans="4:4">
      <c r="D174" t="str">
        <f t="shared" si="2"/>
        <v/>
      </c>
    </row>
    <row r="175" spans="4:4">
      <c r="D175" t="str">
        <f t="shared" si="2"/>
        <v/>
      </c>
    </row>
    <row r="176" spans="4:4">
      <c r="D176" t="str">
        <f t="shared" si="2"/>
        <v/>
      </c>
    </row>
    <row r="177" spans="4:4">
      <c r="D177" t="str">
        <f t="shared" si="2"/>
        <v/>
      </c>
    </row>
    <row r="178" spans="4:4">
      <c r="D178" t="str">
        <f t="shared" si="2"/>
        <v/>
      </c>
    </row>
    <row r="179" spans="4:4">
      <c r="D179" t="str">
        <f t="shared" si="2"/>
        <v/>
      </c>
    </row>
    <row r="180" spans="4:4">
      <c r="D180" t="str">
        <f t="shared" si="2"/>
        <v/>
      </c>
    </row>
    <row r="181" spans="4:4">
      <c r="D181" t="str">
        <f t="shared" si="2"/>
        <v/>
      </c>
    </row>
    <row r="182" spans="4:4">
      <c r="D182" t="str">
        <f t="shared" si="2"/>
        <v/>
      </c>
    </row>
    <row r="183" spans="4:4">
      <c r="D183" t="str">
        <f t="shared" si="2"/>
        <v/>
      </c>
    </row>
    <row r="184" spans="4:4">
      <c r="D184" t="str">
        <f t="shared" si="2"/>
        <v/>
      </c>
    </row>
    <row r="185" spans="4:4">
      <c r="D185" t="str">
        <f t="shared" si="2"/>
        <v/>
      </c>
    </row>
    <row r="186" spans="4:4">
      <c r="D186" t="str">
        <f t="shared" si="2"/>
        <v/>
      </c>
    </row>
    <row r="187" spans="4:4">
      <c r="D187" t="str">
        <f t="shared" si="2"/>
        <v/>
      </c>
    </row>
    <row r="188" spans="4:4">
      <c r="D188" t="str">
        <f t="shared" si="2"/>
        <v/>
      </c>
    </row>
    <row r="189" spans="4:4">
      <c r="D189" t="str">
        <f t="shared" si="2"/>
        <v/>
      </c>
    </row>
    <row r="190" spans="4:4">
      <c r="D190" t="str">
        <f t="shared" si="2"/>
        <v/>
      </c>
    </row>
    <row r="191" spans="4:4">
      <c r="D191" t="str">
        <f t="shared" si="2"/>
        <v/>
      </c>
    </row>
    <row r="192" spans="4:4">
      <c r="D192" t="str">
        <f t="shared" si="2"/>
        <v/>
      </c>
    </row>
    <row r="193" spans="4:4">
      <c r="D193" t="str">
        <f t="shared" si="2"/>
        <v/>
      </c>
    </row>
    <row r="194" spans="4:4">
      <c r="D194" t="str">
        <f t="shared" si="2"/>
        <v/>
      </c>
    </row>
    <row r="195" spans="4:4">
      <c r="D195" t="str">
        <f t="shared" si="2"/>
        <v/>
      </c>
    </row>
    <row r="196" spans="4:4">
      <c r="D196" t="str">
        <f t="shared" si="2"/>
        <v/>
      </c>
    </row>
    <row r="197" spans="4:4">
      <c r="D197" t="str">
        <f t="shared" si="2"/>
        <v/>
      </c>
    </row>
    <row r="198" spans="4:4">
      <c r="D198" t="str">
        <f t="shared" si="2"/>
        <v/>
      </c>
    </row>
    <row r="199" spans="4:4">
      <c r="D199" t="str">
        <f t="shared" ref="D199:D262" si="3">IF(C199="","",INT(C199/10)*10&amp;"s")</f>
        <v/>
      </c>
    </row>
    <row r="200" spans="4:4">
      <c r="D200" t="str">
        <f t="shared" si="3"/>
        <v/>
      </c>
    </row>
    <row r="201" spans="4:4">
      <c r="D201" t="str">
        <f t="shared" si="3"/>
        <v/>
      </c>
    </row>
    <row r="202" spans="4:4">
      <c r="D202" t="str">
        <f t="shared" si="3"/>
        <v/>
      </c>
    </row>
    <row r="203" spans="4:4">
      <c r="D203" t="str">
        <f t="shared" si="3"/>
        <v/>
      </c>
    </row>
    <row r="204" spans="4:4">
      <c r="D204" t="str">
        <f t="shared" si="3"/>
        <v/>
      </c>
    </row>
    <row r="205" spans="4:4">
      <c r="D205" t="str">
        <f t="shared" si="3"/>
        <v/>
      </c>
    </row>
    <row r="206" spans="4:4">
      <c r="D206" t="str">
        <f t="shared" si="3"/>
        <v/>
      </c>
    </row>
    <row r="207" spans="4:4">
      <c r="D207" t="str">
        <f t="shared" si="3"/>
        <v/>
      </c>
    </row>
    <row r="208" spans="4:4">
      <c r="D208" t="str">
        <f t="shared" si="3"/>
        <v/>
      </c>
    </row>
    <row r="209" spans="4:4">
      <c r="D209" t="str">
        <f t="shared" si="3"/>
        <v/>
      </c>
    </row>
    <row r="210" spans="4:4">
      <c r="D210" t="str">
        <f t="shared" si="3"/>
        <v/>
      </c>
    </row>
    <row r="211" spans="4:4">
      <c r="D211" t="str">
        <f t="shared" si="3"/>
        <v/>
      </c>
    </row>
    <row r="212" spans="4:4">
      <c r="D212" t="str">
        <f t="shared" si="3"/>
        <v/>
      </c>
    </row>
    <row r="213" spans="4:4">
      <c r="D213" t="str">
        <f t="shared" si="3"/>
        <v/>
      </c>
    </row>
    <row r="214" spans="4:4">
      <c r="D214" t="str">
        <f t="shared" si="3"/>
        <v/>
      </c>
    </row>
    <row r="215" spans="4:4">
      <c r="D215" t="str">
        <f t="shared" si="3"/>
        <v/>
      </c>
    </row>
    <row r="216" spans="4:4">
      <c r="D216" t="str">
        <f t="shared" si="3"/>
        <v/>
      </c>
    </row>
    <row r="217" spans="4:4">
      <c r="D217" t="str">
        <f t="shared" si="3"/>
        <v/>
      </c>
    </row>
    <row r="218" spans="4:4">
      <c r="D218" t="str">
        <f t="shared" si="3"/>
        <v/>
      </c>
    </row>
    <row r="219" spans="4:4">
      <c r="D219" t="str">
        <f t="shared" si="3"/>
        <v/>
      </c>
    </row>
    <row r="220" spans="4:4">
      <c r="D220" t="str">
        <f t="shared" si="3"/>
        <v/>
      </c>
    </row>
    <row r="221" spans="4:4">
      <c r="D221" t="str">
        <f t="shared" si="3"/>
        <v/>
      </c>
    </row>
    <row r="222" spans="4:4">
      <c r="D222" t="str">
        <f t="shared" si="3"/>
        <v/>
      </c>
    </row>
    <row r="223" spans="4:4">
      <c r="D223" t="str">
        <f t="shared" si="3"/>
        <v/>
      </c>
    </row>
    <row r="224" spans="4:4">
      <c r="D224" t="str">
        <f t="shared" si="3"/>
        <v/>
      </c>
    </row>
    <row r="225" spans="4:4">
      <c r="D225" t="str">
        <f t="shared" si="3"/>
        <v/>
      </c>
    </row>
    <row r="226" spans="4:4">
      <c r="D226" t="str">
        <f t="shared" si="3"/>
        <v/>
      </c>
    </row>
    <row r="227" spans="4:4">
      <c r="D227" t="str">
        <f t="shared" si="3"/>
        <v/>
      </c>
    </row>
    <row r="228" spans="4:4">
      <c r="D228" t="str">
        <f t="shared" si="3"/>
        <v/>
      </c>
    </row>
    <row r="229" spans="4:4">
      <c r="D229" t="str">
        <f t="shared" si="3"/>
        <v/>
      </c>
    </row>
    <row r="230" spans="4:4">
      <c r="D230" t="str">
        <f t="shared" si="3"/>
        <v/>
      </c>
    </row>
    <row r="231" spans="4:4">
      <c r="D231" t="str">
        <f t="shared" si="3"/>
        <v/>
      </c>
    </row>
    <row r="232" spans="4:4">
      <c r="D232" t="str">
        <f t="shared" si="3"/>
        <v/>
      </c>
    </row>
    <row r="233" spans="4:4">
      <c r="D233" t="str">
        <f t="shared" si="3"/>
        <v/>
      </c>
    </row>
    <row r="234" spans="4:4">
      <c r="D234" t="str">
        <f t="shared" si="3"/>
        <v/>
      </c>
    </row>
    <row r="235" spans="4:4">
      <c r="D235" t="str">
        <f t="shared" si="3"/>
        <v/>
      </c>
    </row>
    <row r="236" spans="4:4">
      <c r="D236" t="str">
        <f t="shared" si="3"/>
        <v/>
      </c>
    </row>
    <row r="237" spans="4:4">
      <c r="D237" t="str">
        <f t="shared" si="3"/>
        <v/>
      </c>
    </row>
    <row r="238" spans="4:4">
      <c r="D238" t="str">
        <f t="shared" si="3"/>
        <v/>
      </c>
    </row>
    <row r="239" spans="4:4">
      <c r="D239" t="str">
        <f t="shared" si="3"/>
        <v/>
      </c>
    </row>
    <row r="240" spans="4:4">
      <c r="D240" t="str">
        <f t="shared" si="3"/>
        <v/>
      </c>
    </row>
    <row r="241" spans="4:4">
      <c r="D241" t="str">
        <f t="shared" si="3"/>
        <v/>
      </c>
    </row>
    <row r="242" spans="4:4">
      <c r="D242" t="str">
        <f t="shared" si="3"/>
        <v/>
      </c>
    </row>
    <row r="243" spans="4:4">
      <c r="D243" t="str">
        <f t="shared" si="3"/>
        <v/>
      </c>
    </row>
    <row r="244" spans="4:4">
      <c r="D244" t="str">
        <f t="shared" si="3"/>
        <v/>
      </c>
    </row>
    <row r="245" spans="4:4">
      <c r="D245" t="str">
        <f t="shared" si="3"/>
        <v/>
      </c>
    </row>
    <row r="246" spans="4:4">
      <c r="D246" t="str">
        <f t="shared" si="3"/>
        <v/>
      </c>
    </row>
    <row r="247" spans="4:4">
      <c r="D247" t="str">
        <f t="shared" si="3"/>
        <v/>
      </c>
    </row>
    <row r="248" spans="4:4">
      <c r="D248" t="str">
        <f t="shared" si="3"/>
        <v/>
      </c>
    </row>
    <row r="249" spans="4:4">
      <c r="D249" t="str">
        <f t="shared" si="3"/>
        <v/>
      </c>
    </row>
    <row r="250" spans="4:4">
      <c r="D250" t="str">
        <f t="shared" si="3"/>
        <v/>
      </c>
    </row>
    <row r="251" spans="4:4">
      <c r="D251" t="str">
        <f t="shared" si="3"/>
        <v/>
      </c>
    </row>
    <row r="252" spans="4:4">
      <c r="D252" t="str">
        <f t="shared" si="3"/>
        <v/>
      </c>
    </row>
    <row r="253" spans="4:4">
      <c r="D253" t="str">
        <f t="shared" si="3"/>
        <v/>
      </c>
    </row>
    <row r="254" spans="4:4">
      <c r="D254" t="str">
        <f t="shared" si="3"/>
        <v/>
      </c>
    </row>
    <row r="255" spans="4:4">
      <c r="D255" t="str">
        <f t="shared" si="3"/>
        <v/>
      </c>
    </row>
    <row r="256" spans="4:4">
      <c r="D256" t="str">
        <f t="shared" si="3"/>
        <v/>
      </c>
    </row>
    <row r="257" spans="4:4">
      <c r="D257" t="str">
        <f t="shared" si="3"/>
        <v/>
      </c>
    </row>
    <row r="258" spans="4:4">
      <c r="D258" t="str">
        <f t="shared" si="3"/>
        <v/>
      </c>
    </row>
    <row r="259" spans="4:4">
      <c r="D259" t="str">
        <f t="shared" si="3"/>
        <v/>
      </c>
    </row>
    <row r="260" spans="4:4">
      <c r="D260" t="str">
        <f t="shared" si="3"/>
        <v/>
      </c>
    </row>
    <row r="261" spans="4:4">
      <c r="D261" t="str">
        <f t="shared" si="3"/>
        <v/>
      </c>
    </row>
    <row r="262" spans="4:4">
      <c r="D262" t="str">
        <f t="shared" si="3"/>
        <v/>
      </c>
    </row>
    <row r="263" spans="4:4">
      <c r="D263" t="str">
        <f t="shared" ref="D263:D326" si="4">IF(C263="","",INT(C263/10)*10&amp;"s")</f>
        <v/>
      </c>
    </row>
    <row r="264" spans="4:4">
      <c r="D264" t="str">
        <f t="shared" si="4"/>
        <v/>
      </c>
    </row>
    <row r="265" spans="4:4">
      <c r="D265" t="str">
        <f t="shared" si="4"/>
        <v/>
      </c>
    </row>
    <row r="266" spans="4:4">
      <c r="D266" t="str">
        <f t="shared" si="4"/>
        <v/>
      </c>
    </row>
    <row r="267" spans="4:4">
      <c r="D267" t="str">
        <f t="shared" si="4"/>
        <v/>
      </c>
    </row>
    <row r="268" spans="4:4">
      <c r="D268" t="str">
        <f t="shared" si="4"/>
        <v/>
      </c>
    </row>
    <row r="269" spans="4:4">
      <c r="D269" t="str">
        <f t="shared" si="4"/>
        <v/>
      </c>
    </row>
    <row r="270" spans="4:4">
      <c r="D270" t="str">
        <f t="shared" si="4"/>
        <v/>
      </c>
    </row>
    <row r="271" spans="4:4">
      <c r="D271" t="str">
        <f t="shared" si="4"/>
        <v/>
      </c>
    </row>
    <row r="272" spans="4:4">
      <c r="D272" t="str">
        <f t="shared" si="4"/>
        <v/>
      </c>
    </row>
    <row r="273" spans="4:4">
      <c r="D273" t="str">
        <f t="shared" si="4"/>
        <v/>
      </c>
    </row>
    <row r="274" spans="4:4">
      <c r="D274" t="str">
        <f t="shared" si="4"/>
        <v/>
      </c>
    </row>
    <row r="275" spans="4:4">
      <c r="D275" t="str">
        <f t="shared" si="4"/>
        <v/>
      </c>
    </row>
    <row r="276" spans="4:4">
      <c r="D276" t="str">
        <f t="shared" si="4"/>
        <v/>
      </c>
    </row>
    <row r="277" spans="4:4">
      <c r="D277" t="str">
        <f t="shared" si="4"/>
        <v/>
      </c>
    </row>
    <row r="278" spans="4:4">
      <c r="D278" t="str">
        <f t="shared" si="4"/>
        <v/>
      </c>
    </row>
    <row r="279" spans="4:4">
      <c r="D279" t="str">
        <f t="shared" si="4"/>
        <v/>
      </c>
    </row>
    <row r="280" spans="4:4">
      <c r="D280" t="str">
        <f t="shared" si="4"/>
        <v/>
      </c>
    </row>
    <row r="281" spans="4:4">
      <c r="D281" t="str">
        <f t="shared" si="4"/>
        <v/>
      </c>
    </row>
    <row r="282" spans="4:4">
      <c r="D282" t="str">
        <f t="shared" si="4"/>
        <v/>
      </c>
    </row>
    <row r="283" spans="4:4">
      <c r="D283" t="str">
        <f t="shared" si="4"/>
        <v/>
      </c>
    </row>
    <row r="284" spans="4:4">
      <c r="D284" t="str">
        <f t="shared" si="4"/>
        <v/>
      </c>
    </row>
    <row r="285" spans="4:4">
      <c r="D285" t="str">
        <f t="shared" si="4"/>
        <v/>
      </c>
    </row>
    <row r="286" spans="4:4">
      <c r="D286" t="str">
        <f t="shared" si="4"/>
        <v/>
      </c>
    </row>
    <row r="287" spans="4:4">
      <c r="D287" t="str">
        <f t="shared" si="4"/>
        <v/>
      </c>
    </row>
    <row r="288" spans="4:4">
      <c r="D288" t="str">
        <f t="shared" si="4"/>
        <v/>
      </c>
    </row>
    <row r="289" spans="4:4">
      <c r="D289" t="str">
        <f t="shared" si="4"/>
        <v/>
      </c>
    </row>
    <row r="290" spans="4:4">
      <c r="D290" t="str">
        <f t="shared" si="4"/>
        <v/>
      </c>
    </row>
    <row r="291" spans="4:4">
      <c r="D291" t="str">
        <f t="shared" si="4"/>
        <v/>
      </c>
    </row>
    <row r="292" spans="4:4">
      <c r="D292" t="str">
        <f t="shared" si="4"/>
        <v/>
      </c>
    </row>
    <row r="293" spans="4:4">
      <c r="D293" t="str">
        <f t="shared" si="4"/>
        <v/>
      </c>
    </row>
    <row r="294" spans="4:4">
      <c r="D294" t="str">
        <f t="shared" si="4"/>
        <v/>
      </c>
    </row>
    <row r="295" spans="4:4">
      <c r="D295" t="str">
        <f t="shared" si="4"/>
        <v/>
      </c>
    </row>
    <row r="296" spans="4:4">
      <c r="D296" t="str">
        <f t="shared" si="4"/>
        <v/>
      </c>
    </row>
    <row r="297" spans="4:4">
      <c r="D297" t="str">
        <f t="shared" si="4"/>
        <v/>
      </c>
    </row>
    <row r="298" spans="4:4">
      <c r="D298" t="str">
        <f t="shared" si="4"/>
        <v/>
      </c>
    </row>
    <row r="299" spans="4:4">
      <c r="D299" t="str">
        <f t="shared" si="4"/>
        <v/>
      </c>
    </row>
    <row r="300" spans="4:4">
      <c r="D300" t="str">
        <f t="shared" si="4"/>
        <v/>
      </c>
    </row>
  </sheetData>
  <dataValidations count="1">
    <dataValidation type="list" sqref="M2:M300" xr:uid="{00000000-0002-0000-0100-000003000000}">
      <formula1>"Tenho,Quero comprar,Emprestado,Vendido,Digital apenas,Outro"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Listas!$A$2:$A$21</xm:f>
          </x14:formula1>
          <xm:sqref>E2:E300</xm:sqref>
        </x14:dataValidation>
        <x14:dataValidation type="list" xr:uid="{00000000-0002-0000-0100-000001000000}">
          <x14:formula1>
            <xm:f>Listas!$H$2:$H$3</xm:f>
          </x14:formula1>
          <xm:sqref>K2:K300</xm:sqref>
        </x14:dataValidation>
        <x14:dataValidation type="list" xr:uid="{00000000-0002-0000-0100-000002000000}">
          <x14:formula1>
            <xm:f>Listas!$B$2:$B$9</xm:f>
          </x14:formula1>
          <xm:sqref>L2:L300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workbookViewId="0"/>
  </sheetViews>
  <sheetFormatPr defaultRowHeight="14.25"/>
  <cols>
    <col min="1" max="8" width="18" customWidth="1"/>
  </cols>
  <sheetData>
    <row r="1" spans="1:26" ht="15">
      <c r="A1" s="1" t="s">
        <v>80</v>
      </c>
      <c r="B1" s="1" t="s">
        <v>81</v>
      </c>
      <c r="C1" s="1" t="s">
        <v>82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83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 t="s">
        <v>26</v>
      </c>
      <c r="B2" s="8" t="s">
        <v>29</v>
      </c>
      <c r="C2" s="8" t="s">
        <v>30</v>
      </c>
      <c r="D2" s="8" t="s">
        <v>45</v>
      </c>
      <c r="E2" s="8" t="s">
        <v>64</v>
      </c>
      <c r="F2" s="8" t="s">
        <v>33</v>
      </c>
      <c r="G2" s="8" t="s">
        <v>34</v>
      </c>
      <c r="H2" s="8" t="s">
        <v>35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 t="s">
        <v>62</v>
      </c>
      <c r="B3" s="8" t="s">
        <v>44</v>
      </c>
      <c r="C3" s="8" t="s">
        <v>51</v>
      </c>
      <c r="D3" s="8" t="s">
        <v>31</v>
      </c>
      <c r="E3" s="8" t="s">
        <v>46</v>
      </c>
      <c r="F3" s="8" t="s">
        <v>47</v>
      </c>
      <c r="G3" s="8" t="s">
        <v>54</v>
      </c>
      <c r="H3" s="8" t="s">
        <v>60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 t="s">
        <v>38</v>
      </c>
      <c r="B4" s="8" t="s">
        <v>67</v>
      </c>
      <c r="C4" s="8" t="s">
        <v>63</v>
      </c>
      <c r="D4" s="8" t="s">
        <v>39</v>
      </c>
      <c r="E4" s="8" t="s">
        <v>40</v>
      </c>
      <c r="F4" s="8" t="s">
        <v>59</v>
      </c>
      <c r="G4" s="8" t="s">
        <v>41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 t="s">
        <v>43</v>
      </c>
      <c r="B5" s="8" t="s">
        <v>84</v>
      </c>
      <c r="C5" s="8" t="s">
        <v>85</v>
      </c>
      <c r="D5" s="8" t="s">
        <v>86</v>
      </c>
      <c r="E5" s="8" t="s">
        <v>87</v>
      </c>
      <c r="F5" s="8" t="s">
        <v>68</v>
      </c>
      <c r="G5" s="8" t="s">
        <v>88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8" t="s">
        <v>89</v>
      </c>
      <c r="B6" s="8" t="s">
        <v>50</v>
      </c>
      <c r="C6" s="8" t="s">
        <v>90</v>
      </c>
      <c r="D6" s="8" t="s">
        <v>52</v>
      </c>
      <c r="E6" s="8" t="s">
        <v>58</v>
      </c>
      <c r="F6" s="8" t="s">
        <v>91</v>
      </c>
      <c r="G6" s="8" t="s">
        <v>92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" t="s">
        <v>49</v>
      </c>
      <c r="B7" s="8" t="s">
        <v>93</v>
      </c>
      <c r="C7" s="8" t="s">
        <v>94</v>
      </c>
      <c r="D7" s="8" t="s">
        <v>95</v>
      </c>
      <c r="E7" s="8" t="s">
        <v>32</v>
      </c>
      <c r="F7" s="8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8" t="s">
        <v>97</v>
      </c>
      <c r="B8" s="8" t="s">
        <v>98</v>
      </c>
      <c r="C8" s="8" t="s">
        <v>99</v>
      </c>
      <c r="D8" s="8" t="s">
        <v>100</v>
      </c>
      <c r="E8" s="8" t="s">
        <v>56</v>
      </c>
      <c r="F8" s="8" t="s">
        <v>101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 t="s">
        <v>102</v>
      </c>
      <c r="B9" s="8" t="s">
        <v>103</v>
      </c>
      <c r="C9" s="8" t="s">
        <v>103</v>
      </c>
      <c r="D9" s="8" t="s">
        <v>104</v>
      </c>
      <c r="E9" s="8" t="s">
        <v>105</v>
      </c>
      <c r="F9" s="8" t="s">
        <v>103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 t="s">
        <v>106</v>
      </c>
      <c r="B10" s="8"/>
      <c r="C10" s="8"/>
      <c r="D10" s="8"/>
      <c r="E10" s="8" t="s">
        <v>53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 t="s">
        <v>107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 t="s">
        <v>108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 t="s">
        <v>66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 t="s">
        <v>70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 t="s">
        <v>109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 t="s">
        <v>110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 t="s">
        <v>111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 t="s">
        <v>112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 t="s">
        <v>113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 t="s">
        <v>114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 t="s">
        <v>103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/>
  </sheetViews>
  <sheetFormatPr defaultRowHeight="14.25"/>
  <cols>
    <col min="1" max="1" width="32" customWidth="1"/>
    <col min="2" max="10" width="17" customWidth="1"/>
    <col min="11" max="11" width="32" customWidth="1"/>
    <col min="12" max="14" width="17" customWidth="1"/>
  </cols>
  <sheetData>
    <row r="1" spans="1:26" ht="18">
      <c r="A1" s="4" t="s">
        <v>115</v>
      </c>
      <c r="B1" s="4"/>
      <c r="C1" s="4"/>
      <c r="D1" s="4"/>
      <c r="E1" s="8"/>
      <c r="F1" s="4" t="s">
        <v>116</v>
      </c>
      <c r="G1" s="4"/>
      <c r="H1" s="4"/>
      <c r="I1" s="4"/>
      <c r="J1" s="8"/>
      <c r="K1" s="4" t="s">
        <v>117</v>
      </c>
      <c r="L1" s="4"/>
      <c r="M1" s="4"/>
      <c r="N1" s="4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>
      <c r="A2" s="1" t="s">
        <v>3</v>
      </c>
      <c r="B2" s="1" t="s">
        <v>118</v>
      </c>
      <c r="C2" s="1" t="s">
        <v>119</v>
      </c>
      <c r="D2" s="1" t="s">
        <v>120</v>
      </c>
      <c r="E2" s="8"/>
      <c r="F2" s="1" t="s">
        <v>6</v>
      </c>
      <c r="G2" s="1" t="s">
        <v>118</v>
      </c>
      <c r="H2" s="1" t="s">
        <v>119</v>
      </c>
      <c r="I2" s="1" t="s">
        <v>120</v>
      </c>
      <c r="J2" s="8"/>
      <c r="K2" s="1" t="s">
        <v>9</v>
      </c>
      <c r="L2" s="1" t="s">
        <v>118</v>
      </c>
      <c r="M2" s="1" t="s">
        <v>119</v>
      </c>
      <c r="N2" s="1" t="s">
        <v>120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 t="s">
        <v>25</v>
      </c>
      <c r="B3" s="8">
        <f>COUNTIF(Registro!$D:$D,A3)</f>
        <v>0</v>
      </c>
      <c r="C3" s="8">
        <f>SUMIF(Registro!$D:$D,A3,Registro!$N:$N)/60</f>
        <v>0</v>
      </c>
      <c r="D3" s="8">
        <f>IFERROR(AVERAGEIF(Registro!$D:$D,A3,Registro!$O:$O),0)</f>
        <v>0</v>
      </c>
      <c r="E3" s="8"/>
      <c r="F3" s="8" t="s">
        <v>26</v>
      </c>
      <c r="G3" s="8">
        <f>COUNTIF(Registro!$G:$G,F3)</f>
        <v>0</v>
      </c>
      <c r="H3" s="8">
        <f>SUMIF(Registro!$G:$G,F3,Registro!$N:$N)/60</f>
        <v>0</v>
      </c>
      <c r="I3" s="8">
        <f>IFERROR(AVERAGEIF(Registro!$G:$G,F3,Registro!$O:$O),0)</f>
        <v>0</v>
      </c>
      <c r="J3" s="8"/>
      <c r="K3" s="8" t="s">
        <v>29</v>
      </c>
      <c r="L3" s="8">
        <f>COUNTIF(Registro!$J:$J,K3)</f>
        <v>0</v>
      </c>
      <c r="M3" s="8">
        <f>SUMIF(Registro!$J:$J,K3,Registro!$N:$N)/60</f>
        <v>0</v>
      </c>
      <c r="N3" s="8">
        <f>IFERROR(AVERAGEIF(Registro!$J:$J,K3,Registro!$O:$O),0)</f>
        <v>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 t="s">
        <v>37</v>
      </c>
      <c r="B4" s="8">
        <f>COUNTIF(Registro!$D:$D,A4)</f>
        <v>0</v>
      </c>
      <c r="C4" s="8">
        <f>SUMIF(Registro!$D:$D,A4,Registro!$N:$N)/60</f>
        <v>0</v>
      </c>
      <c r="D4" s="8">
        <f>IFERROR(AVERAGEIF(Registro!$D:$D,A4,Registro!$O:$O),0)</f>
        <v>0</v>
      </c>
      <c r="E4" s="8"/>
      <c r="F4" s="8" t="s">
        <v>38</v>
      </c>
      <c r="G4" s="8">
        <f>COUNTIF(Registro!$G:$G,F4)</f>
        <v>0</v>
      </c>
      <c r="H4" s="8">
        <f>SUMIF(Registro!$G:$G,F4,Registro!$N:$N)/60</f>
        <v>0</v>
      </c>
      <c r="I4" s="8">
        <f>IFERROR(AVERAGEIF(Registro!$G:$G,F4,Registro!$O:$O),0)</f>
        <v>0</v>
      </c>
      <c r="J4" s="8"/>
      <c r="K4" s="8" t="s">
        <v>44</v>
      </c>
      <c r="L4" s="8">
        <f>COUNTIF(Registro!$J:$J,K4)</f>
        <v>0</v>
      </c>
      <c r="M4" s="8">
        <f>SUMIF(Registro!$J:$J,K4,Registro!$N:$N)/60</f>
        <v>0</v>
      </c>
      <c r="N4" s="8">
        <f>IFERROR(AVERAGEIF(Registro!$J:$J,K4,Registro!$O:$O),0)</f>
        <v>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 t="s">
        <v>42</v>
      </c>
      <c r="B5" s="8">
        <f>COUNTIF(Registro!$D:$D,A5)</f>
        <v>0</v>
      </c>
      <c r="C5" s="8">
        <f>SUMIF(Registro!$D:$D,A5,Registro!$N:$N)/60</f>
        <v>0</v>
      </c>
      <c r="D5" s="8">
        <f>IFERROR(AVERAGEIF(Registro!$D:$D,A5,Registro!$O:$O),0)</f>
        <v>0</v>
      </c>
      <c r="E5" s="8"/>
      <c r="F5" s="8" t="s">
        <v>43</v>
      </c>
      <c r="G5" s="8">
        <f>COUNTIF(Registro!$G:$G,F5)</f>
        <v>0</v>
      </c>
      <c r="H5" s="8">
        <f>SUMIF(Registro!$G:$G,F5,Registro!$N:$N)/60</f>
        <v>0</v>
      </c>
      <c r="I5" s="8">
        <f>IFERROR(AVERAGEIF(Registro!$G:$G,F5,Registro!$O:$O),0)</f>
        <v>0</v>
      </c>
      <c r="J5" s="8"/>
      <c r="K5" s="8" t="s">
        <v>67</v>
      </c>
      <c r="L5" s="8">
        <f>COUNTIF(Registro!$J:$J,K5)</f>
        <v>0</v>
      </c>
      <c r="M5" s="8">
        <f>SUMIF(Registro!$J:$J,K5,Registro!$N:$N)/60</f>
        <v>0</v>
      </c>
      <c r="N5" s="8">
        <f>IFERROR(AVERAGEIF(Registro!$J:$J,K5,Registro!$O:$O),0)</f>
        <v>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8" t="s">
        <v>48</v>
      </c>
      <c r="B6" s="8">
        <f>COUNTIF(Registro!$D:$D,A6)</f>
        <v>0</v>
      </c>
      <c r="C6" s="8">
        <f>SUMIF(Registro!$D:$D,A6,Registro!$N:$N)/60</f>
        <v>0</v>
      </c>
      <c r="D6" s="8">
        <f>IFERROR(AVERAGEIF(Registro!$D:$D,A6,Registro!$O:$O),0)</f>
        <v>0</v>
      </c>
      <c r="E6" s="8"/>
      <c r="F6" s="8" t="s">
        <v>49</v>
      </c>
      <c r="G6" s="8">
        <f>COUNTIF(Registro!$G:$G,F6)</f>
        <v>0</v>
      </c>
      <c r="H6" s="8">
        <f>SUMIF(Registro!$G:$G,F6,Registro!$N:$N)/60</f>
        <v>0</v>
      </c>
      <c r="I6" s="8">
        <f>IFERROR(AVERAGEIF(Registro!$G:$G,F6,Registro!$O:$O),0)</f>
        <v>0</v>
      </c>
      <c r="J6" s="8"/>
      <c r="K6" s="8" t="s">
        <v>84</v>
      </c>
      <c r="L6" s="8">
        <f>COUNTIF(Registro!$J:$J,K6)</f>
        <v>0</v>
      </c>
      <c r="M6" s="8">
        <f>SUMIF(Registro!$J:$J,K6,Registro!$N:$N)/60</f>
        <v>0</v>
      </c>
      <c r="N6" s="8">
        <f>IFERROR(AVERAGEIF(Registro!$J:$J,K6,Registro!$O:$O),0)</f>
        <v>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" t="s">
        <v>55</v>
      </c>
      <c r="B7" s="8">
        <f>COUNTIF(Registro!$D:$D,A7)</f>
        <v>0</v>
      </c>
      <c r="C7" s="8">
        <f>SUMIF(Registro!$D:$D,A7,Registro!$N:$N)/60</f>
        <v>0</v>
      </c>
      <c r="D7" s="8">
        <f>IFERROR(AVERAGEIF(Registro!$D:$D,A7,Registro!$O:$O),0)</f>
        <v>0</v>
      </c>
      <c r="E7" s="8"/>
      <c r="F7" s="8" t="s">
        <v>62</v>
      </c>
      <c r="G7" s="8">
        <f>COUNTIF(Registro!$G:$G,F7)</f>
        <v>0</v>
      </c>
      <c r="H7" s="8">
        <f>SUMIF(Registro!$G:$G,F7,Registro!$N:$N)/60</f>
        <v>0</v>
      </c>
      <c r="I7" s="8">
        <f>IFERROR(AVERAGEIF(Registro!$G:$G,F7,Registro!$O:$O),0)</f>
        <v>0</v>
      </c>
      <c r="J7" s="8"/>
      <c r="K7" s="8" t="s">
        <v>50</v>
      </c>
      <c r="L7" s="8">
        <f>COUNTIF(Registro!$J:$J,K7)</f>
        <v>0</v>
      </c>
      <c r="M7" s="8">
        <f>SUMIF(Registro!$J:$J,K7,Registro!$N:$N)/60</f>
        <v>0</v>
      </c>
      <c r="N7" s="8">
        <f>IFERROR(AVERAGEIF(Registro!$J:$J,K7,Registro!$O:$O),0)</f>
        <v>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8" t="s">
        <v>57</v>
      </c>
      <c r="B8" s="8">
        <f>COUNTIF(Registro!$D:$D,A8)</f>
        <v>0</v>
      </c>
      <c r="C8" s="8">
        <f>SUMIF(Registro!$D:$D,A8,Registro!$N:$N)/60</f>
        <v>0</v>
      </c>
      <c r="D8" s="8">
        <f>IFERROR(AVERAGEIF(Registro!$D:$D,A8,Registro!$O:$O),0)</f>
        <v>0</v>
      </c>
      <c r="E8" s="8"/>
      <c r="F8" s="8" t="s">
        <v>66</v>
      </c>
      <c r="G8" s="8">
        <f>COUNTIF(Registro!$G:$G,F8)</f>
        <v>0</v>
      </c>
      <c r="H8" s="8">
        <f>SUMIF(Registro!$G:$G,F8,Registro!$N:$N)/60</f>
        <v>0</v>
      </c>
      <c r="I8" s="8">
        <f>IFERROR(AVERAGEIF(Registro!$G:$G,F8,Registro!$O:$O),0)</f>
        <v>0</v>
      </c>
      <c r="J8" s="8"/>
      <c r="K8" s="8" t="s">
        <v>93</v>
      </c>
      <c r="L8" s="8">
        <f>COUNTIF(Registro!$J:$J,K8)</f>
        <v>0</v>
      </c>
      <c r="M8" s="8">
        <f>SUMIF(Registro!$J:$J,K8,Registro!$N:$N)/60</f>
        <v>0</v>
      </c>
      <c r="N8" s="8">
        <f>IFERROR(AVERAGEIF(Registro!$J:$J,K8,Registro!$O:$O),0)</f>
        <v>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 t="s">
        <v>61</v>
      </c>
      <c r="B9" s="8">
        <f>COUNTIF(Registro!$D:$D,A9)</f>
        <v>0</v>
      </c>
      <c r="C9" s="8">
        <f>SUMIF(Registro!$D:$D,A9,Registro!$N:$N)/60</f>
        <v>0</v>
      </c>
      <c r="D9" s="8">
        <f>IFERROR(AVERAGEIF(Registro!$D:$D,A9,Registro!$O:$O),0)</f>
        <v>0</v>
      </c>
      <c r="E9" s="8"/>
      <c r="F9" s="8" t="s">
        <v>70</v>
      </c>
      <c r="G9" s="8">
        <f>COUNTIF(Registro!$G:$G,F9)</f>
        <v>0</v>
      </c>
      <c r="H9" s="8">
        <f>SUMIF(Registro!$G:$G,F9,Registro!$N:$N)/60</f>
        <v>0</v>
      </c>
      <c r="I9" s="8">
        <f>IFERROR(AVERAGEIF(Registro!$G:$G,F9,Registro!$O:$O),0)</f>
        <v>0</v>
      </c>
      <c r="J9" s="8"/>
      <c r="K9" s="8" t="s">
        <v>98</v>
      </c>
      <c r="L9" s="8">
        <f>COUNTIF(Registro!$J:$J,K9)</f>
        <v>0</v>
      </c>
      <c r="M9" s="8">
        <f>SUMIF(Registro!$J:$J,K9,Registro!$N:$N)/60</f>
        <v>0</v>
      </c>
      <c r="N9" s="8">
        <f>IFERROR(AVERAGEIF(Registro!$J:$J,K9,Registro!$O:$O),0)</f>
        <v>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 t="s">
        <v>65</v>
      </c>
      <c r="B10" s="8">
        <f>COUNTIF(Registro!$D:$D,A10)</f>
        <v>0</v>
      </c>
      <c r="C10" s="8">
        <f>SUMIF(Registro!$D:$D,A10,Registro!$N:$N)/60</f>
        <v>0</v>
      </c>
      <c r="D10" s="8">
        <f>IFERROR(AVERAGEIF(Registro!$D:$D,A10,Registro!$O:$O),0)</f>
        <v>0</v>
      </c>
      <c r="E10" s="8"/>
      <c r="F10" s="8" t="s">
        <v>89</v>
      </c>
      <c r="G10" s="8">
        <f>COUNTIF(Registro!$G:$G,F10)</f>
        <v>0</v>
      </c>
      <c r="H10" s="8">
        <f>SUMIF(Registro!$G:$G,F10,Registro!$N:$N)/60</f>
        <v>0</v>
      </c>
      <c r="I10" s="8">
        <f>IFERROR(AVERAGEIF(Registro!$G:$G,F10,Registro!$O:$O),0)</f>
        <v>0</v>
      </c>
      <c r="J10" s="8"/>
      <c r="K10" s="8" t="s">
        <v>103</v>
      </c>
      <c r="L10" s="8">
        <f>COUNTIF(Registro!$J:$J,K10)</f>
        <v>0</v>
      </c>
      <c r="M10" s="8">
        <f>SUMIF(Registro!$J:$J,K10,Registro!$N:$N)/60</f>
        <v>0</v>
      </c>
      <c r="N10" s="8">
        <f>IFERROR(AVERAGEIF(Registro!$J:$J,K10,Registro!$O:$O),0)</f>
        <v>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 t="s">
        <v>69</v>
      </c>
      <c r="B11" s="8">
        <f>COUNTIF(Registro!$D:$D,A11)</f>
        <v>0</v>
      </c>
      <c r="C11" s="8">
        <f>SUMIF(Registro!$D:$D,A11,Registro!$N:$N)/60</f>
        <v>0</v>
      </c>
      <c r="D11" s="8">
        <f>IFERROR(AVERAGEIF(Registro!$D:$D,A11,Registro!$O:$O),0)</f>
        <v>0</v>
      </c>
      <c r="E11" s="8"/>
      <c r="F11" s="8" t="s">
        <v>97</v>
      </c>
      <c r="G11" s="8">
        <f>COUNTIF(Registro!$G:$G,F11)</f>
        <v>0</v>
      </c>
      <c r="H11" s="8">
        <f>SUMIF(Registro!$G:$G,F11,Registro!$N:$N)/60</f>
        <v>0</v>
      </c>
      <c r="I11" s="8">
        <f>IFERROR(AVERAGEIF(Registro!$G:$G,F11,Registro!$O:$O),0)</f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 t="s">
        <v>71</v>
      </c>
      <c r="B12" s="8">
        <f>COUNTIF(Registro!$D:$D,A12)</f>
        <v>0</v>
      </c>
      <c r="C12" s="8">
        <f>SUMIF(Registro!$D:$D,A12,Registro!$N:$N)/60</f>
        <v>0</v>
      </c>
      <c r="D12" s="8">
        <f>IFERROR(AVERAGEIF(Registro!$D:$D,A12,Registro!$O:$O),0)</f>
        <v>0</v>
      </c>
      <c r="E12" s="8"/>
      <c r="F12" s="8" t="s">
        <v>102</v>
      </c>
      <c r="G12" s="8">
        <f>COUNTIF(Registro!$G:$G,F12)</f>
        <v>0</v>
      </c>
      <c r="H12" s="8">
        <f>SUMIF(Registro!$G:$G,F12,Registro!$N:$N)/60</f>
        <v>0</v>
      </c>
      <c r="I12" s="8">
        <f>IFERROR(AVERAGEIF(Registro!$G:$G,F12,Registro!$O:$O),0)</f>
        <v>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>
        <f>COUNTIF(Registro!$D:$D,A13)</f>
        <v>0</v>
      </c>
      <c r="C13" s="8">
        <f>SUMIF(Registro!$D:$D,A13,Registro!$N:$N)/60</f>
        <v>0</v>
      </c>
      <c r="D13" s="8">
        <f>IFERROR(AVERAGEIF(Registro!$D:$D,A13,Registro!$O:$O),0)</f>
        <v>0</v>
      </c>
      <c r="E13" s="8"/>
      <c r="F13" s="8" t="s">
        <v>107</v>
      </c>
      <c r="G13" s="8">
        <f>COUNTIF(Registro!$G:$G,F13)</f>
        <v>0</v>
      </c>
      <c r="H13" s="8">
        <f>SUMIF(Registro!$G:$G,F13,Registro!$N:$N)/60</f>
        <v>0</v>
      </c>
      <c r="I13" s="8">
        <f>IFERROR(AVERAGEIF(Registro!$G:$G,F13,Registro!$O:$O),0)</f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>
        <f>COUNTIF(Registro!$D:$D,A14)</f>
        <v>0</v>
      </c>
      <c r="C14" s="8">
        <f>SUMIF(Registro!$D:$D,A14,Registro!$N:$N)/60</f>
        <v>0</v>
      </c>
      <c r="D14" s="8">
        <f>IFERROR(AVERAGEIF(Registro!$D:$D,A14,Registro!$O:$O),0)</f>
        <v>0</v>
      </c>
      <c r="E14" s="8"/>
      <c r="F14" s="8" t="s">
        <v>108</v>
      </c>
      <c r="G14" s="8">
        <f>COUNTIF(Registro!$G:$G,F14)</f>
        <v>0</v>
      </c>
      <c r="H14" s="8">
        <f>SUMIF(Registro!$G:$G,F14,Registro!$N:$N)/60</f>
        <v>0</v>
      </c>
      <c r="I14" s="8">
        <f>IFERROR(AVERAGEIF(Registro!$G:$G,F14,Registro!$O:$O),0)</f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>
        <f>COUNTIF(Registro!$D:$D,A15)</f>
        <v>0</v>
      </c>
      <c r="C15" s="8">
        <f>SUMIF(Registro!$D:$D,A15,Registro!$N:$N)/60</f>
        <v>0</v>
      </c>
      <c r="D15" s="8">
        <f>IFERROR(AVERAGEIF(Registro!$D:$D,A15,Registro!$O:$O),0)</f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>
        <f>COUNTIF(Registro!$D:$D,A16)</f>
        <v>0</v>
      </c>
      <c r="C16" s="8">
        <f>SUMIF(Registro!$D:$D,A16,Registro!$N:$N)/60</f>
        <v>0</v>
      </c>
      <c r="D16" s="8">
        <f>IFERROR(AVERAGEIF(Registro!$D:$D,A16,Registro!$O:$O),0)</f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>
        <f>COUNTIF(Registro!$D:$D,A17)</f>
        <v>0</v>
      </c>
      <c r="C17" s="8">
        <f>SUMIF(Registro!$D:$D,A17,Registro!$N:$N)/60</f>
        <v>0</v>
      </c>
      <c r="D17" s="8">
        <f>IFERROR(AVERAGEIF(Registro!$D:$D,A17,Registro!$O:$O),0)</f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">
      <c r="A20" s="4" t="s">
        <v>121</v>
      </c>
      <c r="B20" s="4"/>
      <c r="C20" s="4"/>
      <c r="D20" s="4"/>
      <c r="E20" s="8"/>
      <c r="F20" s="4" t="s">
        <v>122</v>
      </c>
      <c r="G20" s="4"/>
      <c r="H20" s="4"/>
      <c r="I20" s="4"/>
      <c r="J20" s="8"/>
      <c r="K20" s="4" t="s">
        <v>123</v>
      </c>
      <c r="L20" s="4"/>
      <c r="M20" s="4"/>
      <c r="N20" s="4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">
      <c r="A21" s="1" t="s">
        <v>5</v>
      </c>
      <c r="B21" s="1" t="s">
        <v>118</v>
      </c>
      <c r="C21" s="1" t="s">
        <v>119</v>
      </c>
      <c r="D21" s="1" t="s">
        <v>120</v>
      </c>
      <c r="E21" s="8"/>
      <c r="F21" s="1" t="s">
        <v>20</v>
      </c>
      <c r="G21" s="1" t="s">
        <v>118</v>
      </c>
      <c r="H21" s="1" t="s">
        <v>119</v>
      </c>
      <c r="I21" s="1" t="s">
        <v>120</v>
      </c>
      <c r="J21" s="8"/>
      <c r="K21" s="1" t="s">
        <v>2</v>
      </c>
      <c r="L21" s="1" t="s">
        <v>3</v>
      </c>
      <c r="M21" s="1" t="s">
        <v>124</v>
      </c>
      <c r="N21" s="1" t="s">
        <v>1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 t="s">
        <v>125</v>
      </c>
      <c r="B22" s="8">
        <f>COUNTIF(Registro!$F:$F,A22)</f>
        <v>0</v>
      </c>
      <c r="C22" s="8">
        <f>SUMIF(Registro!$F:$F,A22,Registro!$N:$N)/60</f>
        <v>0</v>
      </c>
      <c r="D22" s="8">
        <f>IFERROR(AVERAGEIF(Registro!$F:$F,A22,Registro!$O:$O),0)</f>
        <v>0</v>
      </c>
      <c r="E22" s="8"/>
      <c r="F22" s="8" t="s">
        <v>126</v>
      </c>
      <c r="G22" s="8">
        <f>COUNTIF(Registro!$U:$U,F22)</f>
        <v>0</v>
      </c>
      <c r="H22" s="8">
        <f>SUMIF(Registro!$U:$U,F22,Registro!$N:$N)/60</f>
        <v>0</v>
      </c>
      <c r="I22" s="8">
        <f>IFERROR(AVERAGEIF(Registro!$U:$U,F22,Registro!$O:$O),0)</f>
        <v>0</v>
      </c>
      <c r="J22" s="8"/>
      <c r="K22" s="8" t="str">
        <f>IFERROR(INDEX(Registro!$C$2:$C$300,MATCH(LARGE(Registro!$O$2:$O$300,1),Registro!$O$2:$O$300,0)),"")</f>
        <v/>
      </c>
      <c r="L22" s="8" t="str">
        <f>IFERROR(INDEX(Registro!$D$2:$D$300,MATCH(LARGE(Registro!$O$2:$O$300,1),Registro!$O$2:$O$300,0)),"")</f>
        <v/>
      </c>
      <c r="M22" s="8" t="str">
        <f>IFERROR(LARGE(Registro!$O$2:$O$300,1),"")</f>
        <v/>
      </c>
      <c r="N22" s="9" t="str">
        <f>IFERROR(INDEX(Registro!$B$2:$B$300,MATCH(LARGE(Registro!$O$2:$O$300,1),Registro!$O$2:$O$300,0)),"")</f>
        <v/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 t="s">
        <v>127</v>
      </c>
      <c r="B23" s="8">
        <f>COUNTIF(Registro!$F:$F,A23)</f>
        <v>0</v>
      </c>
      <c r="C23" s="8">
        <f>SUMIF(Registro!$F:$F,A23,Registro!$N:$N)/60</f>
        <v>0</v>
      </c>
      <c r="D23" s="8">
        <f>IFERROR(AVERAGEIF(Registro!$F:$F,A23,Registro!$O:$O),0)</f>
        <v>0</v>
      </c>
      <c r="E23" s="8"/>
      <c r="F23" s="8" t="s">
        <v>128</v>
      </c>
      <c r="G23" s="8">
        <f>COUNTIF(Registro!$U:$U,F23)</f>
        <v>0</v>
      </c>
      <c r="H23" s="8">
        <f>SUMIF(Registro!$U:$U,F23,Registro!$N:$N)/60</f>
        <v>0</v>
      </c>
      <c r="I23" s="8">
        <f>IFERROR(AVERAGEIF(Registro!$U:$U,F23,Registro!$O:$O),0)</f>
        <v>0</v>
      </c>
      <c r="J23" s="8"/>
      <c r="K23" s="8" t="str">
        <f>IFERROR(INDEX(Registro!$C$2:$C$300,MATCH(LARGE(Registro!$O$2:$O$300,2),Registro!$O$2:$O$300,0)),"")</f>
        <v/>
      </c>
      <c r="L23" s="8" t="str">
        <f>IFERROR(INDEX(Registro!$D$2:$D$300,MATCH(LARGE(Registro!$O$2:$O$300,2),Registro!$O$2:$O$300,0)),"")</f>
        <v/>
      </c>
      <c r="M23" s="8" t="str">
        <f>IFERROR(LARGE(Registro!$O$2:$O$300,2),"")</f>
        <v/>
      </c>
      <c r="N23" s="9" t="str">
        <f>IFERROR(INDEX(Registro!$B$2:$B$300,MATCH(LARGE(Registro!$O$2:$O$300,2),Registro!$O$2:$O$300,0)),"")</f>
        <v/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 t="s">
        <v>129</v>
      </c>
      <c r="B24" s="8">
        <f>COUNTIF(Registro!$F:$F,A24)</f>
        <v>0</v>
      </c>
      <c r="C24" s="8">
        <f>SUMIF(Registro!$F:$F,A24,Registro!$N:$N)/60</f>
        <v>0</v>
      </c>
      <c r="D24" s="8">
        <f>IFERROR(AVERAGEIF(Registro!$F:$F,A24,Registro!$O:$O),0)</f>
        <v>0</v>
      </c>
      <c r="E24" s="8"/>
      <c r="F24" s="8" t="s">
        <v>130</v>
      </c>
      <c r="G24" s="8">
        <f>COUNTIF(Registro!$U:$U,F24)</f>
        <v>0</v>
      </c>
      <c r="H24" s="8">
        <f>SUMIF(Registro!$U:$U,F24,Registro!$N:$N)/60</f>
        <v>0</v>
      </c>
      <c r="I24" s="8">
        <f>IFERROR(AVERAGEIF(Registro!$U:$U,F24,Registro!$O:$O),0)</f>
        <v>0</v>
      </c>
      <c r="J24" s="8"/>
      <c r="K24" s="8" t="str">
        <f>IFERROR(INDEX(Registro!$C$2:$C$300,MATCH(LARGE(Registro!$O$2:$O$300,3),Registro!$O$2:$O$300,0)),"")</f>
        <v/>
      </c>
      <c r="L24" s="8" t="str">
        <f>IFERROR(INDEX(Registro!$D$2:$D$300,MATCH(LARGE(Registro!$O$2:$O$300,3),Registro!$O$2:$O$300,0)),"")</f>
        <v/>
      </c>
      <c r="M24" s="8" t="str">
        <f>IFERROR(LARGE(Registro!$O$2:$O$300,3),"")</f>
        <v/>
      </c>
      <c r="N24" s="9" t="str">
        <f>IFERROR(INDEX(Registro!$B$2:$B$300,MATCH(LARGE(Registro!$O$2:$O$300,3),Registro!$O$2:$O$300,0)),"")</f>
        <v/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 t="s">
        <v>131</v>
      </c>
      <c r="B25" s="8">
        <f>COUNTIF(Registro!$F:$F,A25)</f>
        <v>0</v>
      </c>
      <c r="C25" s="8">
        <f>SUMIF(Registro!$F:$F,A25,Registro!$N:$N)/60</f>
        <v>0</v>
      </c>
      <c r="D25" s="8">
        <f>IFERROR(AVERAGEIF(Registro!$F:$F,A25,Registro!$O:$O),0)</f>
        <v>0</v>
      </c>
      <c r="E25" s="8"/>
      <c r="F25" s="8" t="s">
        <v>132</v>
      </c>
      <c r="G25" s="8">
        <f>COUNTIF(Registro!$U:$U,F25)</f>
        <v>0</v>
      </c>
      <c r="H25" s="8">
        <f>SUMIF(Registro!$U:$U,F25,Registro!$N:$N)/60</f>
        <v>0</v>
      </c>
      <c r="I25" s="8">
        <f>IFERROR(AVERAGEIF(Registro!$U:$U,F25,Registro!$O:$O),0)</f>
        <v>0</v>
      </c>
      <c r="J25" s="8"/>
      <c r="K25" s="8" t="str">
        <f>IFERROR(INDEX(Registro!$C$2:$C$300,MATCH(LARGE(Registro!$O$2:$O$300,4),Registro!$O$2:$O$300,0)),"")</f>
        <v/>
      </c>
      <c r="L25" s="8" t="str">
        <f>IFERROR(INDEX(Registro!$D$2:$D$300,MATCH(LARGE(Registro!$O$2:$O$300,4),Registro!$O$2:$O$300,0)),"")</f>
        <v/>
      </c>
      <c r="M25" s="8" t="str">
        <f>IFERROR(LARGE(Registro!$O$2:$O$300,4),"")</f>
        <v/>
      </c>
      <c r="N25" s="9" t="str">
        <f>IFERROR(INDEX(Registro!$B$2:$B$300,MATCH(LARGE(Registro!$O$2:$O$300,4),Registro!$O$2:$O$300,0)),"")</f>
        <v/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 t="s">
        <v>133</v>
      </c>
      <c r="B26" s="8">
        <f>COUNTIF(Registro!$F:$F,A26)</f>
        <v>0</v>
      </c>
      <c r="C26" s="8">
        <f>SUMIF(Registro!$F:$F,A26,Registro!$N:$N)/60</f>
        <v>0</v>
      </c>
      <c r="D26" s="8">
        <f>IFERROR(AVERAGEIF(Registro!$F:$F,A26,Registro!$O:$O),0)</f>
        <v>0</v>
      </c>
      <c r="E26" s="8"/>
      <c r="F26" s="8" t="s">
        <v>134</v>
      </c>
      <c r="G26" s="8">
        <f>COUNTIF(Registro!$U:$U,F26)</f>
        <v>0</v>
      </c>
      <c r="H26" s="8">
        <f>SUMIF(Registro!$U:$U,F26,Registro!$N:$N)/60</f>
        <v>0</v>
      </c>
      <c r="I26" s="8">
        <f>IFERROR(AVERAGEIF(Registro!$U:$U,F26,Registro!$O:$O),0)</f>
        <v>0</v>
      </c>
      <c r="J26" s="8"/>
      <c r="K26" s="8" t="str">
        <f>IFERROR(INDEX(Registro!$C$2:$C$300,MATCH(LARGE(Registro!$O$2:$O$300,5),Registro!$O$2:$O$300,0)),"")</f>
        <v/>
      </c>
      <c r="L26" s="8" t="str">
        <f>IFERROR(INDEX(Registro!$D$2:$D$300,MATCH(LARGE(Registro!$O$2:$O$300,5),Registro!$O$2:$O$300,0)),"")</f>
        <v/>
      </c>
      <c r="M26" s="8" t="str">
        <f>IFERROR(LARGE(Registro!$O$2:$O$300,5),"")</f>
        <v/>
      </c>
      <c r="N26" s="9" t="str">
        <f>IFERROR(INDEX(Registro!$B$2:$B$300,MATCH(LARGE(Registro!$O$2:$O$300,5),Registro!$O$2:$O$300,0)),"")</f>
        <v/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 t="s">
        <v>135</v>
      </c>
      <c r="B27" s="8">
        <f>COUNTIF(Registro!$F:$F,A27)</f>
        <v>0</v>
      </c>
      <c r="C27" s="8">
        <f>SUMIF(Registro!$F:$F,A27,Registro!$N:$N)/60</f>
        <v>0</v>
      </c>
      <c r="D27" s="8">
        <f>IFERROR(AVERAGEIF(Registro!$F:$F,A27,Registro!$O:$O),0)</f>
        <v>0</v>
      </c>
      <c r="E27" s="8"/>
      <c r="F27" s="8" t="s">
        <v>136</v>
      </c>
      <c r="G27" s="8">
        <f>COUNTIF(Registro!$U:$U,F27)</f>
        <v>0</v>
      </c>
      <c r="H27" s="8">
        <f>SUMIF(Registro!$U:$U,F27,Registro!$N:$N)/60</f>
        <v>0</v>
      </c>
      <c r="I27" s="8">
        <f>IFERROR(AVERAGEIF(Registro!$U:$U,F27,Registro!$O:$O),0)</f>
        <v>0</v>
      </c>
      <c r="J27" s="8"/>
      <c r="K27" s="8" t="str">
        <f>IFERROR(INDEX(Registro!$C$2:$C$300,MATCH(LARGE(Registro!$O$2:$O$300,6),Registro!$O$2:$O$300,0)),"")</f>
        <v/>
      </c>
      <c r="L27" s="8" t="str">
        <f>IFERROR(INDEX(Registro!$D$2:$D$300,MATCH(LARGE(Registro!$O$2:$O$300,6),Registro!$O$2:$O$300,0)),"")</f>
        <v/>
      </c>
      <c r="M27" s="8" t="str">
        <f>IFERROR(LARGE(Registro!$O$2:$O$300,6),"")</f>
        <v/>
      </c>
      <c r="N27" s="9" t="str">
        <f>IFERROR(INDEX(Registro!$B$2:$B$300,MATCH(LARGE(Registro!$O$2:$O$300,6),Registro!$O$2:$O$300,0)),"")</f>
        <v/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 t="s">
        <v>137</v>
      </c>
      <c r="B28" s="8">
        <f>COUNTIF(Registro!$F:$F,A28)</f>
        <v>0</v>
      </c>
      <c r="C28" s="8">
        <f>SUMIF(Registro!$F:$F,A28,Registro!$N:$N)/60</f>
        <v>0</v>
      </c>
      <c r="D28" s="8">
        <f>IFERROR(AVERAGEIF(Registro!$F:$F,A28,Registro!$O:$O),0)</f>
        <v>0</v>
      </c>
      <c r="E28" s="8"/>
      <c r="F28" s="8" t="s">
        <v>138</v>
      </c>
      <c r="G28" s="8">
        <f>COUNTIF(Registro!$U:$U,F28)</f>
        <v>0</v>
      </c>
      <c r="H28" s="8">
        <f>SUMIF(Registro!$U:$U,F28,Registro!$N:$N)/60</f>
        <v>0</v>
      </c>
      <c r="I28" s="8">
        <f>IFERROR(AVERAGEIF(Registro!$U:$U,F28,Registro!$O:$O),0)</f>
        <v>0</v>
      </c>
      <c r="J28" s="8"/>
      <c r="K28" s="8" t="str">
        <f>IFERROR(INDEX(Registro!$C$2:$C$300,MATCH(LARGE(Registro!$O$2:$O$300,7),Registro!$O$2:$O$300,0)),"")</f>
        <v/>
      </c>
      <c r="L28" s="8" t="str">
        <f>IFERROR(INDEX(Registro!$D$2:$D$300,MATCH(LARGE(Registro!$O$2:$O$300,7),Registro!$O$2:$O$300,0)),"")</f>
        <v/>
      </c>
      <c r="M28" s="8" t="str">
        <f>IFERROR(LARGE(Registro!$O$2:$O$300,7),"")</f>
        <v/>
      </c>
      <c r="N28" s="9" t="str">
        <f>IFERROR(INDEX(Registro!$B$2:$B$300,MATCH(LARGE(Registro!$O$2:$O$300,7),Registro!$O$2:$O$300,0)),"")</f>
        <v/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 t="s">
        <v>139</v>
      </c>
      <c r="B29" s="8">
        <f>COUNTIF(Registro!$F:$F,A29)</f>
        <v>0</v>
      </c>
      <c r="C29" s="8">
        <f>SUMIF(Registro!$F:$F,A29,Registro!$N:$N)/60</f>
        <v>0</v>
      </c>
      <c r="D29" s="8">
        <f>IFERROR(AVERAGEIF(Registro!$F:$F,A29,Registro!$O:$O),0)</f>
        <v>0</v>
      </c>
      <c r="E29" s="8"/>
      <c r="F29" s="8" t="s">
        <v>140</v>
      </c>
      <c r="G29" s="8">
        <f>COUNTIF(Registro!$U:$U,F29)</f>
        <v>0</v>
      </c>
      <c r="H29" s="8">
        <f>SUMIF(Registro!$U:$U,F29,Registro!$N:$N)/60</f>
        <v>0</v>
      </c>
      <c r="I29" s="8">
        <f>IFERROR(AVERAGEIF(Registro!$U:$U,F29,Registro!$O:$O),0)</f>
        <v>0</v>
      </c>
      <c r="J29" s="8"/>
      <c r="K29" s="8" t="str">
        <f>IFERROR(INDEX(Registro!$C$2:$C$300,MATCH(LARGE(Registro!$O$2:$O$300,8),Registro!$O$2:$O$300,0)),"")</f>
        <v/>
      </c>
      <c r="L29" s="8" t="str">
        <f>IFERROR(INDEX(Registro!$D$2:$D$300,MATCH(LARGE(Registro!$O$2:$O$300,8),Registro!$O$2:$O$300,0)),"")</f>
        <v/>
      </c>
      <c r="M29" s="8" t="str">
        <f>IFERROR(LARGE(Registro!$O$2:$O$300,8),"")</f>
        <v/>
      </c>
      <c r="N29" s="9" t="str">
        <f>IFERROR(INDEX(Registro!$B$2:$B$300,MATCH(LARGE(Registro!$O$2:$O$300,8),Registro!$O$2:$O$300,0)),"")</f>
        <v/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 t="s">
        <v>141</v>
      </c>
      <c r="G30" s="8">
        <f>COUNTIF(Registro!$U:$U,F30)</f>
        <v>0</v>
      </c>
      <c r="H30" s="8">
        <f>SUMIF(Registro!$U:$U,F30,Registro!$N:$N)/60</f>
        <v>0</v>
      </c>
      <c r="I30" s="8">
        <f>IFERROR(AVERAGEIF(Registro!$U:$U,F30,Registro!$O:$O),0)</f>
        <v>0</v>
      </c>
      <c r="J30" s="8"/>
      <c r="K30" s="8" t="str">
        <f>IFERROR(INDEX(Registro!$C$2:$C$300,MATCH(LARGE(Registro!$O$2:$O$300,9),Registro!$O$2:$O$300,0)),"")</f>
        <v/>
      </c>
      <c r="L30" s="8" t="str">
        <f>IFERROR(INDEX(Registro!$D$2:$D$300,MATCH(LARGE(Registro!$O$2:$O$300,9),Registro!$O$2:$O$300,0)),"")</f>
        <v/>
      </c>
      <c r="M30" s="8" t="str">
        <f>IFERROR(LARGE(Registro!$O$2:$O$300,9),"")</f>
        <v/>
      </c>
      <c r="N30" s="9" t="str">
        <f>IFERROR(INDEX(Registro!$B$2:$B$300,MATCH(LARGE(Registro!$O$2:$O$300,9),Registro!$O$2:$O$300,0)),"")</f>
        <v/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 t="s">
        <v>142</v>
      </c>
      <c r="G31" s="8">
        <f>COUNTIF(Registro!$U:$U,F31)</f>
        <v>0</v>
      </c>
      <c r="H31" s="8">
        <f>SUMIF(Registro!$U:$U,F31,Registro!$N:$N)/60</f>
        <v>0</v>
      </c>
      <c r="I31" s="8">
        <f>IFERROR(AVERAGEIF(Registro!$U:$U,F31,Registro!$O:$O),0)</f>
        <v>0</v>
      </c>
      <c r="J31" s="8"/>
      <c r="K31" s="8" t="str">
        <f>IFERROR(INDEX(Registro!$C$2:$C$300,MATCH(LARGE(Registro!$O$2:$O$300,10),Registro!$O$2:$O$300,0)),"")</f>
        <v/>
      </c>
      <c r="L31" s="8" t="str">
        <f>IFERROR(INDEX(Registro!$D$2:$D$300,MATCH(LARGE(Registro!$O$2:$O$300,10),Registro!$O$2:$O$300,0)),"")</f>
        <v/>
      </c>
      <c r="M31" s="8" t="str">
        <f>IFERROR(LARGE(Registro!$O$2:$O$300,10),"")</f>
        <v/>
      </c>
      <c r="N31" s="9" t="str">
        <f>IFERROR(INDEX(Registro!$B$2:$B$300,MATCH(LARGE(Registro!$O$2:$O$300,10),Registro!$O$2:$O$300,0)),"")</f>
        <v/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 t="s">
        <v>143</v>
      </c>
      <c r="G32" s="8">
        <f>COUNTIF(Registro!$U:$U,F32)</f>
        <v>0</v>
      </c>
      <c r="H32" s="8">
        <f>SUMIF(Registro!$U:$U,F32,Registro!$N:$N)/60</f>
        <v>0</v>
      </c>
      <c r="I32" s="8">
        <f>IFERROR(AVERAGEIF(Registro!$U:$U,F32,Registro!$O:$O),0)</f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 t="s">
        <v>144</v>
      </c>
      <c r="G33" s="8">
        <f>COUNTIF(Registro!$U:$U,F33)</f>
        <v>0</v>
      </c>
      <c r="H33" s="8">
        <f>SUMIF(Registro!$U:$U,F33,Registro!$N:$N)/60</f>
        <v>0</v>
      </c>
      <c r="I33" s="8">
        <f>IFERROR(AVERAGEIF(Registro!$U:$U,F33,Registro!$O:$O),0)</f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"/>
  <sheetViews>
    <sheetView tabSelected="1" topLeftCell="A23" workbookViewId="0">
      <selection activeCell="B65" sqref="B65"/>
    </sheetView>
  </sheetViews>
  <sheetFormatPr defaultRowHeight="14.25"/>
  <cols>
    <col min="1" max="1" width="28" customWidth="1"/>
    <col min="2" max="5" width="16" customWidth="1"/>
    <col min="6" max="6" width="32" customWidth="1"/>
    <col min="7" max="14" width="16" customWidth="1"/>
  </cols>
  <sheetData>
    <row r="1" spans="1:26" ht="23.25">
      <c r="A1" s="12" t="s">
        <v>145</v>
      </c>
      <c r="B1" s="12"/>
      <c r="C1" s="12"/>
      <c r="D1" s="12"/>
      <c r="E1" s="12"/>
      <c r="F1" s="12"/>
      <c r="G1" s="12"/>
      <c r="H1" s="12"/>
      <c r="I1" s="13"/>
      <c r="J1" s="12"/>
      <c r="K1" s="12"/>
      <c r="L1" s="12"/>
      <c r="M1" s="12"/>
      <c r="N1" s="1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>
      <c r="A3" s="5" t="s">
        <v>146</v>
      </c>
      <c r="B3" s="5" t="s">
        <v>147</v>
      </c>
      <c r="C3" s="5" t="s">
        <v>148</v>
      </c>
      <c r="D3" s="5" t="s">
        <v>149</v>
      </c>
      <c r="E3" s="5" t="s">
        <v>120</v>
      </c>
      <c r="F3" s="5" t="s">
        <v>150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0.25">
      <c r="A4" s="7">
        <f>COUNTA(Registro!$A$2:$A$300)</f>
        <v>0</v>
      </c>
      <c r="B4" s="7">
        <f>SUMPRODUCT((Registro!$C$2:$C$300&lt;&gt;"")/IF(COUNTIF(Registro!$C$2:$C$300,Registro!$C$2:$C$300)=0,1,COUNTIF(Registro!$C$2:$C$300,Registro!$C$2:$C$300)))</f>
        <v>0</v>
      </c>
      <c r="C4" s="7">
        <f>SUMPRODUCT((Registro!$D$2:$D$300&lt;&gt;"")/IF(COUNTIF(Registro!$D$2:$D$300,Registro!$D$2:$D$300)=0,1,COUNTIF(Registro!$D$2:$D$300,Registro!$D$2:$D$300)))</f>
        <v>0</v>
      </c>
      <c r="D4" s="6">
        <f>SUM(Registro!$N$2:$N$300)/60</f>
        <v>0</v>
      </c>
      <c r="E4" s="6">
        <f>IFERROR(AVERAGE(Registro!$O$2:$O$300),0)</f>
        <v>0</v>
      </c>
      <c r="F4" s="7">
        <f>COUNTIF(Registro!$S$2:$S$300,"Sim")</f>
        <v>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">
      <c r="A42" s="1" t="s">
        <v>151</v>
      </c>
      <c r="B42" s="1" t="s">
        <v>152</v>
      </c>
      <c r="C42" s="1" t="s">
        <v>119</v>
      </c>
      <c r="D42" s="1" t="s">
        <v>120</v>
      </c>
      <c r="E42" s="8"/>
      <c r="F42" s="1" t="s">
        <v>123</v>
      </c>
      <c r="G42" s="1" t="s">
        <v>3</v>
      </c>
      <c r="H42" s="1" t="s">
        <v>124</v>
      </c>
      <c r="I42" s="1" t="s">
        <v>1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 t="str">
        <f>Resumos!A3</f>
        <v>Pink Floyd</v>
      </c>
      <c r="B43" s="8">
        <f>Resumos!B3</f>
        <v>0</v>
      </c>
      <c r="C43" s="8">
        <f>Resumos!C3</f>
        <v>0</v>
      </c>
      <c r="D43" s="8">
        <f>Resumos!D3</f>
        <v>0</v>
      </c>
      <c r="E43" s="8"/>
      <c r="F43" s="8" t="str">
        <f>Resumos!K22</f>
        <v/>
      </c>
      <c r="G43" s="8" t="str">
        <f>Resumos!L22</f>
        <v/>
      </c>
      <c r="H43" s="8" t="str">
        <f>Resumos!M22</f>
        <v/>
      </c>
      <c r="I43" s="8" t="str">
        <f>Resumos!N22</f>
        <v/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 t="str">
        <f>Resumos!A4</f>
        <v>Milton Nascimento &amp; Lô Borges</v>
      </c>
      <c r="B44" s="8">
        <f>Resumos!B4</f>
        <v>0</v>
      </c>
      <c r="C44" s="8">
        <f>Resumos!C4</f>
        <v>0</v>
      </c>
      <c r="D44" s="8">
        <f>Resumos!D4</f>
        <v>0</v>
      </c>
      <c r="E44" s="8"/>
      <c r="F44" s="8" t="str">
        <f>Resumos!K23</f>
        <v/>
      </c>
      <c r="G44" s="8" t="str">
        <f>Resumos!L23</f>
        <v/>
      </c>
      <c r="H44" s="8" t="str">
        <f>Resumos!M23</f>
        <v/>
      </c>
      <c r="I44" s="8" t="str">
        <f>Resumos!N23</f>
        <v/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 t="str">
        <f>Resumos!A5</f>
        <v>Miles Davis</v>
      </c>
      <c r="B45" s="8">
        <f>Resumos!B5</f>
        <v>0</v>
      </c>
      <c r="C45" s="8">
        <f>Resumos!C5</f>
        <v>0</v>
      </c>
      <c r="D45" s="8">
        <f>Resumos!D5</f>
        <v>0</v>
      </c>
      <c r="E45" s="8"/>
      <c r="F45" s="8" t="str">
        <f>Resumos!K24</f>
        <v/>
      </c>
      <c r="G45" s="8" t="str">
        <f>Resumos!L24</f>
        <v/>
      </c>
      <c r="H45" s="8" t="str">
        <f>Resumos!M24</f>
        <v/>
      </c>
      <c r="I45" s="8" t="str">
        <f>Resumos!N24</f>
        <v/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 t="str">
        <f>Resumos!A6</f>
        <v>Stevie Wonder</v>
      </c>
      <c r="B46" s="8">
        <f>Resumos!B6</f>
        <v>0</v>
      </c>
      <c r="C46" s="8">
        <f>Resumos!C6</f>
        <v>0</v>
      </c>
      <c r="D46" s="8">
        <f>Resumos!D6</f>
        <v>0</v>
      </c>
      <c r="E46" s="8"/>
      <c r="F46" s="8" t="str">
        <f>Resumos!K25</f>
        <v/>
      </c>
      <c r="G46" s="8" t="str">
        <f>Resumos!L25</f>
        <v/>
      </c>
      <c r="H46" s="8" t="str">
        <f>Resumos!M25</f>
        <v/>
      </c>
      <c r="I46" s="8" t="str">
        <f>Resumos!N25</f>
        <v/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 t="str">
        <f>Resumos!A7</f>
        <v>Caetano Veloso</v>
      </c>
      <c r="B47" s="8">
        <f>Resumos!B7</f>
        <v>0</v>
      </c>
      <c r="C47" s="8">
        <f>Resumos!C7</f>
        <v>0</v>
      </c>
      <c r="D47" s="8">
        <f>Resumos!D7</f>
        <v>0</v>
      </c>
      <c r="E47" s="8"/>
      <c r="F47" s="8" t="str">
        <f>Resumos!K26</f>
        <v/>
      </c>
      <c r="G47" s="8" t="str">
        <f>Resumos!L26</f>
        <v/>
      </c>
      <c r="H47" s="8" t="str">
        <f>Resumos!M26</f>
        <v/>
      </c>
      <c r="I47" s="8" t="str">
        <f>Resumos!N26</f>
        <v/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 t="str">
        <f>Resumos!A8</f>
        <v>Talking Heads</v>
      </c>
      <c r="B48" s="8">
        <f>Resumos!B8</f>
        <v>0</v>
      </c>
      <c r="C48" s="8">
        <f>Resumos!C8</f>
        <v>0</v>
      </c>
      <c r="D48" s="8">
        <f>Resumos!D8</f>
        <v>0</v>
      </c>
      <c r="E48" s="8"/>
      <c r="F48" s="8" t="str">
        <f>Resumos!K27</f>
        <v/>
      </c>
      <c r="G48" s="8" t="str">
        <f>Resumos!L27</f>
        <v/>
      </c>
      <c r="H48" s="8" t="str">
        <f>Resumos!M27</f>
        <v/>
      </c>
      <c r="I48" s="8" t="str">
        <f>Resumos!N27</f>
        <v/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 t="str">
        <f>Resumos!A9</f>
        <v>Michael Jackson</v>
      </c>
      <c r="B49" s="8">
        <f>Resumos!B9</f>
        <v>0</v>
      </c>
      <c r="C49" s="8">
        <f>Resumos!C9</f>
        <v>0</v>
      </c>
      <c r="D49" s="8">
        <f>Resumos!D9</f>
        <v>0</v>
      </c>
      <c r="E49" s="8"/>
      <c r="F49" s="8" t="str">
        <f>Resumos!K28</f>
        <v/>
      </c>
      <c r="G49" s="8" t="str">
        <f>Resumos!L28</f>
        <v/>
      </c>
      <c r="H49" s="8" t="str">
        <f>Resumos!M28</f>
        <v/>
      </c>
      <c r="I49" s="8" t="str">
        <f>Resumos!N28</f>
        <v/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 t="str">
        <f>Resumos!A10</f>
        <v>The Clash</v>
      </c>
      <c r="B50" s="8">
        <f>Resumos!B10</f>
        <v>0</v>
      </c>
      <c r="C50" s="8">
        <f>Resumos!C10</f>
        <v>0</v>
      </c>
      <c r="D50" s="8">
        <f>Resumos!D10</f>
        <v>0</v>
      </c>
      <c r="E50" s="8"/>
      <c r="F50" s="8" t="str">
        <f>Resumos!K29</f>
        <v/>
      </c>
      <c r="G50" s="8" t="str">
        <f>Resumos!L29</f>
        <v/>
      </c>
      <c r="H50" s="8" t="str">
        <f>Resumos!M29</f>
        <v/>
      </c>
      <c r="I50" s="8" t="str">
        <f>Resumos!N29</f>
        <v/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 t="str">
        <f>Resumos!A11</f>
        <v>Joni Mitchell</v>
      </c>
      <c r="B51" s="8">
        <f>Resumos!B11</f>
        <v>0</v>
      </c>
      <c r="C51" s="8">
        <f>Resumos!C11</f>
        <v>0</v>
      </c>
      <c r="D51" s="8">
        <f>Resumos!D11</f>
        <v>0</v>
      </c>
      <c r="E51" s="8"/>
      <c r="F51" s="8" t="str">
        <f>Resumos!K30</f>
        <v/>
      </c>
      <c r="G51" s="8" t="str">
        <f>Resumos!L30</f>
        <v/>
      </c>
      <c r="H51" s="8" t="str">
        <f>Resumos!M30</f>
        <v/>
      </c>
      <c r="I51" s="8" t="str">
        <f>Resumos!N30</f>
        <v/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 t="str">
        <f>Resumos!A12</f>
        <v>Jorge Ben Jor</v>
      </c>
      <c r="B52" s="8">
        <f>Resumos!B12</f>
        <v>0</v>
      </c>
      <c r="C52" s="8">
        <f>Resumos!C12</f>
        <v>0</v>
      </c>
      <c r="D52" s="8">
        <f>Resumos!D12</f>
        <v>0</v>
      </c>
      <c r="E52" s="8"/>
      <c r="F52" s="8" t="str">
        <f>Resumos!K31</f>
        <v/>
      </c>
      <c r="G52" s="8" t="str">
        <f>Resumos!L31</f>
        <v/>
      </c>
      <c r="H52" s="8" t="str">
        <f>Resumos!M31</f>
        <v/>
      </c>
      <c r="I52" s="8" t="str">
        <f>Resumos!N31</f>
        <v/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>
        <f>Resumos!A13</f>
        <v>0</v>
      </c>
      <c r="B53" s="8">
        <f>Resumos!B13</f>
        <v>0</v>
      </c>
      <c r="C53" s="8">
        <f>Resumos!C13</f>
        <v>0</v>
      </c>
      <c r="D53" s="8">
        <f>Resumos!D13</f>
        <v>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>
        <f>Resumos!A14</f>
        <v>0</v>
      </c>
      <c r="B54" s="8">
        <f>Resumos!B14</f>
        <v>0</v>
      </c>
      <c r="C54" s="8">
        <f>Resumos!C14</f>
        <v>0</v>
      </c>
      <c r="D54" s="8">
        <f>Resumos!D14</f>
        <v>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>
        <f>Resumos!A15</f>
        <v>0</v>
      </c>
      <c r="B55" s="8">
        <f>Resumos!B15</f>
        <v>0</v>
      </c>
      <c r="C55" s="8">
        <f>Resumos!C15</f>
        <v>0</v>
      </c>
      <c r="D55" s="8">
        <f>Resumos!D15</f>
        <v>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>
        <f>Resumos!A16</f>
        <v>0</v>
      </c>
      <c r="B56" s="8">
        <f>Resumos!B16</f>
        <v>0</v>
      </c>
      <c r="C56" s="8">
        <f>Resumos!C16</f>
        <v>0</v>
      </c>
      <c r="D56" s="8">
        <f>Resumos!D16</f>
        <v>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>
        <f>Resumos!A17</f>
        <v>0</v>
      </c>
      <c r="B57" s="8">
        <f>Resumos!B17</f>
        <v>0</v>
      </c>
      <c r="C57" s="8">
        <f>Resumos!C17</f>
        <v>0</v>
      </c>
      <c r="D57" s="8">
        <f>Resumos!D17</f>
        <v>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</sheetData>
  <mergeCells count="1">
    <mergeCell ref="A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0"/>
  <sheetViews>
    <sheetView workbookViewId="0"/>
  </sheetViews>
  <sheetFormatPr defaultRowHeight="14.25"/>
  <cols>
    <col min="1" max="1" width="120" customWidth="1"/>
  </cols>
  <sheetData>
    <row r="1" spans="1:26" ht="23.25">
      <c r="A1" s="10" t="s">
        <v>153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>
      <c r="A2" s="11" t="s">
        <v>154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>
      <c r="A3" s="11" t="s">
        <v>155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>
      <c r="A4" s="11" t="s">
        <v>156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0">
      <c r="A5" s="11" t="s">
        <v>157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">
      <c r="A6" s="11" t="s">
        <v>158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">
      <c r="A7" s="11" t="s">
        <v>159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">
      <c r="A8" s="11" t="s">
        <v>160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Registro</vt:lpstr>
      <vt:lpstr>Catálogo</vt:lpstr>
      <vt:lpstr>Listas</vt:lpstr>
      <vt:lpstr>Resumos</vt:lpstr>
      <vt:lpstr>Dashboard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Oliveira</cp:lastModifiedBy>
  <dcterms:modified xsi:type="dcterms:W3CDTF">2026-05-06T21:09:04Z</dcterms:modified>
</cp:coreProperties>
</file>